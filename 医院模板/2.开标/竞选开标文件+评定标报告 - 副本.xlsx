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tabRatio="998" firstSheet="5" activeTab="3"/>
  </bookViews>
  <sheets>
    <sheet name="项目基本情况" sheetId="6" r:id="rId1"/>
    <sheet name="供应商签到、文件密封及样品确认情况" sheetId="9" r:id="rId2"/>
    <sheet name="评审人员、监督及代理机构签到表" sheetId="13" r:id="rId3"/>
    <sheet name="评定标报告" sheetId="14" r:id="rId4"/>
    <sheet name="附件一、采购项目资格审查表" sheetId="15" r:id="rId5"/>
    <sheet name="附件二、符合性审查表" sheetId="16" r:id="rId6"/>
    <sheet name="附件三、评审过程" sheetId="1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<sst xmlns="http://schemas.openxmlformats.org/spreadsheetml/2006/main" count="172" uniqueCount="128">
  <si>
    <t>内江市第一人民医院院内竞选项目基本情况</t>
  </si>
  <si>
    <t>采购项目名称：</t>
  </si>
  <si>
    <t>内江市第一人民xxxx采购项目（第xx次）</t>
  </si>
  <si>
    <t>评审地点:</t>
  </si>
  <si>
    <t>内江市第一人民医院门诊三楼会议室</t>
  </si>
  <si>
    <t>采购人：</t>
  </si>
  <si>
    <t>内江市第一人民医院</t>
  </si>
  <si>
    <t>代理机构：</t>
  </si>
  <si>
    <t>xxxx代理有限责任公司</t>
  </si>
  <si>
    <t>采购项目编号：</t>
  </si>
  <si>
    <t>NJYY-YNJX-0xx</t>
  </si>
  <si>
    <t>包号</t>
  </si>
  <si>
    <t>NJYY-YNJX-0xx-2</t>
  </si>
  <si>
    <t>评审时间：</t>
  </si>
  <si>
    <t>2024年XX月XX日</t>
  </si>
  <si>
    <t>供应商1：</t>
  </si>
  <si>
    <t>xxxx有限公司1</t>
  </si>
  <si>
    <t>供应商2：</t>
  </si>
  <si>
    <t>xxxx有限公司2</t>
  </si>
  <si>
    <t>供应商3：</t>
  </si>
  <si>
    <t>xxxx有限公司3</t>
  </si>
  <si>
    <t>供应商4：</t>
  </si>
  <si>
    <t>xxxx有限公司4</t>
  </si>
  <si>
    <t>供应商5：</t>
  </si>
  <si>
    <t>xxxx有限公司5</t>
  </si>
  <si>
    <t>内江市第一人民医院院内竞选项目
供应商签到、文件密封及样品确认情况</t>
  </si>
  <si>
    <t>序号</t>
  </si>
  <si>
    <t>供应商名称</t>
  </si>
  <si>
    <t>供应商签到</t>
  </si>
  <si>
    <t>文件密封性及样品确认</t>
  </si>
  <si>
    <t>签到时间</t>
  </si>
  <si>
    <t>联系方式</t>
  </si>
  <si>
    <t>法定代表人或授权代表签到</t>
  </si>
  <si>
    <t>采购文件密封情况是否完好</t>
  </si>
  <si>
    <t>样品递交情况</t>
  </si>
  <si>
    <t>样品退回情况</t>
  </si>
  <si>
    <t>法定代表人或授权代表签字确认</t>
  </si>
  <si>
    <t>内江市第一人民医院院内竞选项目
评审人员、监督及代理机构签到表</t>
  </si>
  <si>
    <t>类别</t>
  </si>
  <si>
    <t>单位名称</t>
  </si>
  <si>
    <t>姓名</t>
  </si>
  <si>
    <t>联系电话</t>
  </si>
  <si>
    <t>职务</t>
  </si>
  <si>
    <t>签到</t>
  </si>
  <si>
    <t>代理机构</t>
  </si>
  <si>
    <t>四川尚璟招标代理有限责任公司</t>
  </si>
  <si>
    <t>曹家炜</t>
  </si>
  <si>
    <t>0832-2267533</t>
  </si>
  <si>
    <t>经办人</t>
  </si>
  <si>
    <t>科室</t>
  </si>
  <si>
    <t>评审人员</t>
  </si>
  <si>
    <t>监督</t>
  </si>
  <si>
    <t>评定标报告</t>
  </si>
  <si>
    <t>一、项目信息</t>
  </si>
  <si>
    <t>项目名称</t>
  </si>
  <si>
    <t>预算金额</t>
  </si>
  <si>
    <t>预算单价0.04元/克，项目金额按计划（据实结算），配送服务期2年</t>
  </si>
  <si>
    <t>项目编号</t>
  </si>
  <si>
    <t>采购时间</t>
  </si>
  <si>
    <t>采购地点</t>
  </si>
  <si>
    <t>评审办法</t>
  </si>
  <si>
    <t>性价比法</t>
  </si>
  <si>
    <t>二、评审过程</t>
  </si>
  <si>
    <t>供应商报价</t>
  </si>
  <si>
    <t>资格性审查</t>
  </si>
  <si>
    <t>符合性审查</t>
  </si>
  <si>
    <t>最终得分
及价格</t>
  </si>
  <si>
    <t>评审排名</t>
  </si>
  <si>
    <t>四川迪牛贸易有限公司</t>
  </si>
  <si>
    <t>10元/瓶/250g</t>
  </si>
  <si>
    <t>通过</t>
  </si>
  <si>
    <t xml:space="preserve"> </t>
  </si>
  <si>
    <t>价格：维持首轮报价不变</t>
  </si>
  <si>
    <t>采购结果：四川迪牛贸易有限公司中选</t>
  </si>
  <si>
    <t>备注</t>
  </si>
  <si>
    <t>评委签字</t>
  </si>
  <si>
    <t>监督人员签字</t>
  </si>
  <si>
    <t>四、评审地点和评审委员会成员名单</t>
  </si>
  <si>
    <t>评审地点：</t>
  </si>
  <si>
    <t>评审委员会成员名单：</t>
  </si>
  <si>
    <t>五、开标情况</t>
  </si>
  <si>
    <t>（一）按照采购文件规定的时间，于  年  月  日在  进行 。
（二）递交响应文件截止时间：2024年08月16日10:00（北京时间），共收到   家供应商的响应文件。
（三）由 主持， 进行现场监督。
（四）开标过程中，由供应商代表对响应文件的密封情况进行了检查。
（五）开标过程顺利。</t>
  </si>
  <si>
    <t>附件一、资格审查表</t>
  </si>
  <si>
    <t>项目
名称</t>
  </si>
  <si>
    <t>项目
编号</t>
  </si>
  <si>
    <t>时间</t>
  </si>
  <si>
    <t>地点</t>
  </si>
  <si>
    <t>审查内容</t>
  </si>
  <si>
    <t>是否通过审查</t>
  </si>
  <si>
    <t>在中华人民共和国境内注册，具有独立法人资格</t>
  </si>
  <si>
    <t>具有良好的商业信誉</t>
  </si>
  <si>
    <t>具有具健全健的财务会
计制度</t>
  </si>
  <si>
    <t>具有履行合同所必需的设备和专业技术能力</t>
  </si>
  <si>
    <t>参加采购活动前三年内，在经营活动中没有重大违法记录</t>
  </si>
  <si>
    <t>投标人必须为四川阳光采购平台备案企业</t>
  </si>
  <si>
    <t>本项目不接受联合体</t>
  </si>
  <si>
    <t>提供完整的授权链</t>
  </si>
  <si>
    <t>投标人及逐级授权经销商须符合《医疗器械监督管理条例》的要求</t>
  </si>
  <si>
    <t>所响应产品须符合《医疗器械注册管理办法》的要求</t>
  </si>
  <si>
    <t>法定代表人授权委托书，法人和法人授权人身份证复印件</t>
  </si>
  <si>
    <t>授权人社保信息（须包含授权人单位信息）</t>
  </si>
  <si>
    <t>响应文件中提供的文件、证照须真实、有效，如发现响应文件中存在造假行为，则视为无效响应</t>
  </si>
  <si>
    <t>是</t>
  </si>
  <si>
    <t>否</t>
  </si>
  <si>
    <t>审查人信息</t>
  </si>
  <si>
    <t>审查人签字</t>
  </si>
  <si>
    <t>附件二、符合性审查表</t>
  </si>
  <si>
    <t>符合性审查内容</t>
  </si>
  <si>
    <t>需要投标人进行承诺的实质性要求。</t>
  </si>
  <si>
    <t>除仅需供应商进行承诺的实质性要求外，采购文件中技术服务要求、商务要求等实质性响应内容进行应答。</t>
  </si>
  <si>
    <t>代理机构签字</t>
  </si>
  <si>
    <t>注：代理代理机构对文件中实质性要求进行审查，评审专家对样品进行审查</t>
  </si>
  <si>
    <t>附件三、评审过程记录</t>
  </si>
  <si>
    <t>谈价过程</t>
  </si>
  <si>
    <t>首轮报价</t>
  </si>
  <si>
    <t>二轮报价</t>
  </si>
  <si>
    <t>三轮报价</t>
  </si>
  <si>
    <t>评审细则</t>
  </si>
  <si>
    <t>报价</t>
  </si>
  <si>
    <t>评审分（平均值）</t>
  </si>
  <si>
    <t>性价比得分</t>
  </si>
  <si>
    <t>推荐排名</t>
  </si>
  <si>
    <t>xx</t>
  </si>
  <si>
    <t>xxx</t>
  </si>
  <si>
    <t>评审分（平均值）/报价</t>
  </si>
  <si>
    <t>评审委员会成员有不同意见的说明，特说明如下：无。</t>
  </si>
  <si>
    <t>评委签字：</t>
  </si>
  <si>
    <t>监督人员签字：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</si>
</sst>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sz val="11"/>
      <color theme="1"/>
      <name val="仿宋"/>
      <charset val="134"/>
    </font>
    <font>
      <b/>
      <sz val="14"/>
      <color theme="1"/>
      <name val="仿宋"/>
      <charset val="134"/>
    </font>
    <font>
      <b/>
      <sz val="16"/>
      <color theme="1"/>
      <name val="仿宋"/>
      <charset val="134"/>
    </font>
    <font>
      <b/>
      <sz val="12"/>
      <color theme="1"/>
      <name val="仿宋"/>
      <charset val="134"/>
    </font>
    <font>
      <b/>
      <sz val="20"/>
      <color theme="1"/>
      <name val="仿宋"/>
      <charset val="134"/>
    </font>
    <font>
      <b/>
      <sz val="11"/>
      <color theme="1"/>
      <name val="仿宋"/>
      <charset val="134"/>
    </font>
    <font>
      <b/>
      <sz val="12"/>
      <color rgb="FF000000"/>
      <name val="仿宋"/>
      <charset val="134"/>
    </font>
    <font>
      <sz val="12"/>
      <color theme="1"/>
      <name val="仿宋"/>
      <charset val="134"/>
    </font>
    <font>
      <sz val="14"/>
      <color theme="1"/>
      <name val="仿宋"/>
      <charset val="134"/>
    </font>
    <font>
      <sz val="22"/>
      <color theme="1"/>
      <name val="仿宋"/>
      <charset val="134"/>
    </font>
    <font>
      <b/>
      <sz val="18"/>
      <color theme="1"/>
      <name val="仿宋"/>
      <charset val="134"/>
    </font>
    <font>
      <b/>
      <sz val="22"/>
      <color theme="1"/>
      <name val="仿宋"/>
      <charset val="134"/>
    </font>
    <font>
      <sz val="12"/>
      <color rgb="FF000000"/>
      <name val="仿宋"/>
      <charset val="134"/>
    </font>
    <font>
      <sz val="11"/>
      <color theme="1"/>
      <name val="宋体"/>
      <charset val="134"/>
    </font>
    <font>
      <b/>
      <sz val="14"/>
      <color rgb="FF000000"/>
      <name val="仿宋"/>
      <charset val="134"/>
    </font>
    <font>
      <sz val="14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2" borderId="12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3" borderId="15" applyNumberFormat="0" applyAlignment="0" applyProtection="0">
      <alignment vertical="center"/>
    </xf>
    <xf numFmtId="0" fontId="26" fillId="4" borderId="16" applyNumberFormat="0" applyAlignment="0" applyProtection="0">
      <alignment vertical="center"/>
    </xf>
    <xf numFmtId="0" fontId="27" fillId="4" borderId="15" applyNumberFormat="0" applyAlignment="0" applyProtection="0">
      <alignment vertical="center"/>
    </xf>
    <xf numFmtId="0" fontId="28" fillId="5" borderId="17" applyNumberFormat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0" fillId="0" borderId="0"/>
  </cellStyleXfs>
  <cellXfs count="10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>
      <alignment vertical="center"/>
    </xf>
    <xf numFmtId="0" fontId="4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31" fontId="4" fillId="0" borderId="3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Continuous" vertical="center"/>
    </xf>
    <xf numFmtId="0" fontId="2" fillId="0" borderId="2" xfId="0" applyFont="1" applyBorder="1">
      <alignment vertical="center"/>
    </xf>
    <xf numFmtId="0" fontId="9" fillId="0" borderId="2" xfId="0" applyFont="1" applyBorder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>
      <alignment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31" fontId="2" fillId="0" borderId="2" xfId="0" applyNumberFormat="1" applyFont="1" applyBorder="1" applyAlignment="1">
      <alignment horizontal="center" vertical="center" wrapText="1"/>
    </xf>
    <xf numFmtId="31" fontId="2" fillId="0" borderId="2" xfId="0" applyNumberFormat="1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31" fontId="8" fillId="0" borderId="3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14" fillId="0" borderId="0" xfId="0" applyFont="1">
      <alignment vertical="center"/>
    </xf>
    <xf numFmtId="0" fontId="5" fillId="0" borderId="0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4" fillId="0" borderId="2" xfId="0" applyFont="1" applyBorder="1">
      <alignment vertical="center"/>
    </xf>
    <xf numFmtId="0" fontId="16" fillId="0" borderId="0" xfId="0" applyFont="1">
      <alignment vertical="center"/>
    </xf>
    <xf numFmtId="0" fontId="16" fillId="0" borderId="0" xfId="0" applyFont="1" applyAlignment="1">
      <alignment vertical="center"/>
    </xf>
    <xf numFmtId="0" fontId="11" fillId="0" borderId="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2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B2" sqref="B2"/>
    </sheetView>
  </sheetViews>
  <sheetFormatPr defaultColWidth="9" defaultRowHeight="13.5" outlineLevelCol="1"/>
  <cols>
    <col min="1" max="1" width="15.7583333333333" style="96" customWidth="1"/>
    <col min="2" max="2" width="68.875" customWidth="1"/>
  </cols>
  <sheetData>
    <row r="1" ht="32" customHeight="1" spans="1:2">
      <c r="A1" s="49" t="s">
        <v>0</v>
      </c>
      <c r="B1" s="49"/>
    </row>
    <row r="2" ht="32" customHeight="1" spans="1:2">
      <c r="A2" s="6" t="s">
        <v>1</v>
      </c>
      <c r="B2" s="4" t="s">
        <v>2</v>
      </c>
    </row>
    <row r="3" ht="32" customHeight="1" spans="1:2">
      <c r="A3" s="6" t="s">
        <v>3</v>
      </c>
      <c r="B3" s="6" t="s">
        <v>4</v>
      </c>
    </row>
    <row r="4" ht="32" customHeight="1" spans="1:2">
      <c r="A4" s="6" t="s">
        <v>5</v>
      </c>
      <c r="B4" s="6" t="s">
        <v>6</v>
      </c>
    </row>
    <row r="5" ht="32" customHeight="1" spans="1:2">
      <c r="A5" s="6" t="s">
        <v>7</v>
      </c>
      <c r="B5" s="97" t="s">
        <v>8</v>
      </c>
    </row>
    <row r="6" ht="32" customHeight="1" spans="1:2">
      <c r="A6" s="6" t="s">
        <v>9</v>
      </c>
      <c r="B6" s="97" t="s">
        <v>10</v>
      </c>
    </row>
    <row r="7" ht="32" customHeight="1" spans="1:2">
      <c r="A7" s="6" t="s">
        <v>11</v>
      </c>
      <c r="B7" s="97" t="s">
        <v>12</v>
      </c>
    </row>
    <row r="8" ht="32" customHeight="1" spans="1:2">
      <c r="A8" s="6" t="s">
        <v>3</v>
      </c>
      <c r="B8" s="6" t="s">
        <v>4</v>
      </c>
    </row>
    <row r="9" ht="32" customHeight="1" spans="1:2">
      <c r="A9" s="6" t="s">
        <v>13</v>
      </c>
      <c r="B9" s="98" t="s">
        <v>14</v>
      </c>
    </row>
    <row r="10" ht="32" customHeight="1" spans="1:2">
      <c r="A10" s="6" t="s">
        <v>15</v>
      </c>
      <c r="B10" s="99" t="s">
        <v>16</v>
      </c>
    </row>
    <row r="11" ht="32" customHeight="1" spans="1:2">
      <c r="A11" s="6" t="s">
        <v>17</v>
      </c>
      <c r="B11" s="99" t="s">
        <v>18</v>
      </c>
    </row>
    <row r="12" ht="32" customHeight="1" spans="1:2">
      <c r="A12" s="6" t="s">
        <v>19</v>
      </c>
      <c r="B12" s="99" t="s">
        <v>20</v>
      </c>
    </row>
    <row r="13" ht="32" customHeight="1" spans="1:2">
      <c r="A13" s="6" t="s">
        <v>21</v>
      </c>
      <c r="B13" s="99" t="s">
        <v>22</v>
      </c>
    </row>
    <row r="14" ht="32" customHeight="1" spans="1:2">
      <c r="A14" s="6" t="s">
        <v>23</v>
      </c>
      <c r="B14" s="99" t="s">
        <v>24</v>
      </c>
    </row>
  </sheetData>
  <mergeCells count="1">
    <mergeCell ref="A1:B1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12"/>
  <sheetViews>
    <sheetView zoomScale="85" zoomScaleNormal="85" workbookViewId="0">
      <selection activeCell="E31" sqref="E31"/>
    </sheetView>
  </sheetViews>
  <sheetFormatPr defaultColWidth="9" defaultRowHeight="13.5"/>
  <cols>
    <col min="1" max="1" width="4.925" style="74" customWidth="1"/>
    <col min="2" max="2" width="30.5833333333333" style="74" customWidth="1"/>
    <col min="3" max="4" width="15.625" style="74" customWidth="1"/>
    <col min="5" max="5" width="16.6166666666667" style="74" customWidth="1"/>
    <col min="6" max="8" width="15.625" style="74" customWidth="1"/>
    <col min="9" max="9" width="15.3083333333333" style="74" customWidth="1"/>
    <col min="10" max="16384" width="9" style="74"/>
  </cols>
  <sheetData>
    <row r="1" ht="60" customHeight="1" spans="1:9">
      <c r="A1" s="92" t="s">
        <v>25</v>
      </c>
      <c r="B1" s="92"/>
      <c r="C1" s="92"/>
      <c r="D1" s="92"/>
      <c r="E1" s="92"/>
      <c r="F1" s="92"/>
      <c r="G1" s="92"/>
      <c r="H1" s="92"/>
      <c r="I1" s="92"/>
    </row>
    <row r="2" customFormat="1" ht="32" customHeight="1" spans="1:9">
      <c r="A2" s="52" t="str">
        <f>"项目名称:"&amp;项目基本情况!B2</f>
        <v>项目名称:内江市第一人民xxxx采购项目（第xx次）</v>
      </c>
      <c r="B2" s="52"/>
      <c r="C2" s="52"/>
      <c r="D2" s="52"/>
      <c r="E2" s="52"/>
      <c r="F2" s="52"/>
      <c r="G2" s="52"/>
      <c r="H2" s="52"/>
      <c r="I2" s="52"/>
    </row>
    <row r="3" s="90" customFormat="1" ht="32" customHeight="1" spans="1:9">
      <c r="A3" s="76" t="str">
        <f>"采购人:"&amp;项目基本情况!B4</f>
        <v>采购人:内江市第一人民医院</v>
      </c>
      <c r="B3" s="77"/>
      <c r="C3" s="77"/>
      <c r="D3" s="77"/>
      <c r="E3" s="79" t="str">
        <f>"代理机构:"&amp;项目基本情况!B5</f>
        <v>代理机构:xxxx代理有限责任公司</v>
      </c>
      <c r="F3" s="70"/>
      <c r="G3" s="70"/>
      <c r="H3" s="70"/>
      <c r="I3" s="70"/>
    </row>
    <row r="4" s="90" customFormat="1" ht="32" customHeight="1" spans="1:9">
      <c r="A4" s="76" t="str">
        <f>"项目编号:"&amp;项目基本情况!B6</f>
        <v>项目编号:NJYY-YNJX-0xx</v>
      </c>
      <c r="B4" s="77"/>
      <c r="C4" s="77"/>
      <c r="D4" s="77"/>
      <c r="E4" s="80" t="str">
        <f>"包号:"&amp;项目基本情况!B7</f>
        <v>包号:NJYY-YNJX-0xx-2</v>
      </c>
      <c r="F4" s="12"/>
      <c r="G4" s="12"/>
      <c r="H4" s="12"/>
      <c r="I4" s="12"/>
    </row>
    <row r="5" s="90" customFormat="1" ht="32" customHeight="1" spans="1:9">
      <c r="A5" s="81" t="str">
        <f>"评审时间："&amp;项目基本情况!B9</f>
        <v>评审时间：2024年XX月XX日</v>
      </c>
      <c r="B5" s="78"/>
      <c r="C5" s="78"/>
      <c r="D5" s="78"/>
      <c r="E5" s="80" t="str">
        <f>"评审地点："&amp;项目基本情况!B8</f>
        <v>评审地点：内江市第一人民医院门诊三楼会议室</v>
      </c>
      <c r="F5" s="12"/>
      <c r="G5" s="12"/>
      <c r="H5" s="12"/>
      <c r="I5" s="12"/>
    </row>
    <row r="6" s="90" customFormat="1" ht="32" customHeight="1" spans="1:9">
      <c r="A6" s="82" t="s">
        <v>26</v>
      </c>
      <c r="B6" s="88" t="s">
        <v>27</v>
      </c>
      <c r="C6" s="93" t="s">
        <v>28</v>
      </c>
      <c r="D6" s="93"/>
      <c r="E6" s="93"/>
      <c r="F6" s="93" t="s">
        <v>29</v>
      </c>
      <c r="G6" s="93"/>
      <c r="H6" s="93"/>
      <c r="I6" s="93"/>
    </row>
    <row r="7" s="91" customFormat="1" ht="64" customHeight="1" spans="1:9">
      <c r="A7" s="5"/>
      <c r="B7" s="83"/>
      <c r="C7" s="4" t="s">
        <v>30</v>
      </c>
      <c r="D7" s="4" t="s">
        <v>31</v>
      </c>
      <c r="E7" s="94" t="s">
        <v>32</v>
      </c>
      <c r="F7" s="4" t="s">
        <v>33</v>
      </c>
      <c r="G7" s="4" t="s">
        <v>34</v>
      </c>
      <c r="H7" s="94" t="s">
        <v>35</v>
      </c>
      <c r="I7" s="94" t="s">
        <v>36</v>
      </c>
    </row>
    <row r="8" s="90" customFormat="1" ht="32" customHeight="1" spans="1:9">
      <c r="A8" s="5">
        <v>1</v>
      </c>
      <c r="B8" s="95" t="str">
        <f>项目基本情况!B10</f>
        <v>xxxx有限公司1</v>
      </c>
      <c r="C8" s="5"/>
      <c r="D8" s="5"/>
      <c r="E8" s="5"/>
      <c r="F8" s="5"/>
      <c r="G8" s="5"/>
      <c r="H8" s="5"/>
      <c r="I8" s="35"/>
    </row>
    <row r="9" s="90" customFormat="1" ht="32" customHeight="1" spans="1:9">
      <c r="A9" s="5">
        <v>2</v>
      </c>
      <c r="B9" s="95" t="str">
        <f>项目基本情况!B11</f>
        <v>xxxx有限公司2</v>
      </c>
      <c r="C9" s="5"/>
      <c r="D9" s="5"/>
      <c r="E9" s="5"/>
      <c r="F9" s="5"/>
      <c r="G9" s="5"/>
      <c r="H9" s="5"/>
      <c r="I9" s="35"/>
    </row>
    <row r="10" s="90" customFormat="1" ht="32" customHeight="1" spans="1:9">
      <c r="A10" s="5">
        <v>3</v>
      </c>
      <c r="B10" s="95" t="str">
        <f>项目基本情况!B12</f>
        <v>xxxx有限公司3</v>
      </c>
      <c r="C10" s="5"/>
      <c r="D10" s="5"/>
      <c r="E10" s="5"/>
      <c r="F10" s="5"/>
      <c r="G10" s="5"/>
      <c r="H10" s="5"/>
      <c r="I10" s="35"/>
    </row>
    <row r="11" s="90" customFormat="1" ht="32" customHeight="1" spans="1:9">
      <c r="A11" s="5">
        <v>4</v>
      </c>
      <c r="B11" s="95" t="str">
        <f>项目基本情况!B13</f>
        <v>xxxx有限公司4</v>
      </c>
      <c r="C11" s="5"/>
      <c r="D11" s="5"/>
      <c r="E11" s="5"/>
      <c r="F11" s="5"/>
      <c r="G11" s="5"/>
      <c r="H11" s="5"/>
      <c r="I11" s="35"/>
    </row>
    <row r="12" ht="32" customHeight="1" spans="1:9">
      <c r="A12" s="5">
        <v>4</v>
      </c>
      <c r="B12" s="95" t="str">
        <f>项目基本情况!B14</f>
        <v>xxxx有限公司5</v>
      </c>
      <c r="C12" s="5"/>
      <c r="D12" s="5"/>
      <c r="E12" s="5"/>
      <c r="F12" s="5"/>
      <c r="G12" s="5"/>
      <c r="H12" s="5"/>
      <c r="I12" s="35"/>
    </row>
  </sheetData>
  <mergeCells count="12">
    <mergeCell ref="A1:I1"/>
    <mergeCell ref="A2:I2"/>
    <mergeCell ref="A3:D3"/>
    <mergeCell ref="E3:I3"/>
    <mergeCell ref="A4:D4"/>
    <mergeCell ref="E4:I4"/>
    <mergeCell ref="A5:D5"/>
    <mergeCell ref="E5:I5"/>
    <mergeCell ref="C6:E6"/>
    <mergeCell ref="F6:I6"/>
    <mergeCell ref="A6:A7"/>
    <mergeCell ref="B6:B7"/>
  </mergeCells>
  <pageMargins left="0.432638888888889" right="0" top="0.747916666666667" bottom="0" header="0.5" footer="0.5"/>
  <pageSetup paperSize="9" scale="99" orientation="landscape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zoomScale="85" zoomScaleNormal="85" workbookViewId="0">
      <selection activeCell="E18" sqref="E18"/>
    </sheetView>
  </sheetViews>
  <sheetFormatPr defaultColWidth="9" defaultRowHeight="13.5" outlineLevelCol="5"/>
  <cols>
    <col min="1" max="1" width="12.3833333333333" style="74" customWidth="1"/>
    <col min="2" max="2" width="42.6416666666667" style="74" customWidth="1"/>
    <col min="3" max="6" width="20.625" style="74" customWidth="1"/>
    <col min="7" max="16384" width="9" style="74"/>
  </cols>
  <sheetData>
    <row r="1" ht="59" customHeight="1" spans="1:6">
      <c r="A1" s="75" t="s">
        <v>37</v>
      </c>
      <c r="B1" s="75"/>
      <c r="C1" s="75"/>
      <c r="D1" s="75"/>
      <c r="E1" s="75"/>
      <c r="F1" s="75"/>
    </row>
    <row r="2" ht="32" customHeight="1" spans="1:6">
      <c r="A2" s="52" t="str">
        <f>"项目名称:"&amp;项目基本情况!B2</f>
        <v>项目名称:内江市第一人民xxxx采购项目（第xx次）</v>
      </c>
      <c r="B2" s="52"/>
      <c r="C2" s="52"/>
      <c r="D2" s="52"/>
      <c r="E2" s="52"/>
      <c r="F2" s="52"/>
    </row>
    <row r="3" ht="32" customHeight="1" spans="1:6">
      <c r="A3" s="76" t="str">
        <f>"采购人:"&amp;项目基本情况!B4</f>
        <v>采购人:内江市第一人民医院</v>
      </c>
      <c r="B3" s="77"/>
      <c r="C3" s="77"/>
      <c r="D3" s="78" t="str">
        <f>"代理机构:"&amp;项目基本情况!B5</f>
        <v>代理机构:xxxx代理有限责任公司</v>
      </c>
      <c r="E3" s="78"/>
      <c r="F3" s="79"/>
    </row>
    <row r="4" ht="32" customHeight="1" spans="1:6">
      <c r="A4" s="76" t="str">
        <f>"项目编号:"&amp;项目基本情况!B6</f>
        <v>项目编号:NJYY-YNJX-0xx</v>
      </c>
      <c r="B4" s="77"/>
      <c r="C4" s="77"/>
      <c r="D4" s="77" t="str">
        <f>"包号:"&amp;项目基本情况!B7</f>
        <v>包号:NJYY-YNJX-0xx-2</v>
      </c>
      <c r="E4" s="77"/>
      <c r="F4" s="80"/>
    </row>
    <row r="5" ht="32" customHeight="1" spans="1:6">
      <c r="A5" s="81" t="str">
        <f>"评审时间："&amp;项目基本情况!B9</f>
        <v>评审时间：2024年XX月XX日</v>
      </c>
      <c r="B5" s="78"/>
      <c r="C5" s="78"/>
      <c r="D5" s="77" t="str">
        <f>"评审地点："&amp;项目基本情况!B8</f>
        <v>评审地点：内江市第一人民医院门诊三楼会议室</v>
      </c>
      <c r="E5" s="77"/>
      <c r="F5" s="80"/>
    </row>
    <row r="6" ht="32" customHeight="1" spans="1:6">
      <c r="A6" s="82" t="s">
        <v>38</v>
      </c>
      <c r="B6" s="82" t="s">
        <v>39</v>
      </c>
      <c r="C6" s="82" t="s">
        <v>40</v>
      </c>
      <c r="D6" s="82" t="s">
        <v>41</v>
      </c>
      <c r="E6" s="82" t="s">
        <v>42</v>
      </c>
      <c r="F6" s="82" t="s">
        <v>43</v>
      </c>
    </row>
    <row r="7" ht="32" customHeight="1" spans="1:6">
      <c r="A7" s="5" t="s">
        <v>44</v>
      </c>
      <c r="B7" s="83" t="s">
        <v>45</v>
      </c>
      <c r="C7" s="5" t="s">
        <v>46</v>
      </c>
      <c r="D7" s="5" t="s">
        <v>47</v>
      </c>
      <c r="E7" s="5" t="s">
        <v>48</v>
      </c>
      <c r="F7" s="5"/>
    </row>
    <row r="8" ht="32" customHeight="1" spans="1:6">
      <c r="A8" s="82" t="s">
        <v>38</v>
      </c>
      <c r="B8" s="82" t="s">
        <v>39</v>
      </c>
      <c r="C8" s="82" t="s">
        <v>40</v>
      </c>
      <c r="D8" s="82" t="s">
        <v>41</v>
      </c>
      <c r="E8" s="82" t="s">
        <v>49</v>
      </c>
      <c r="F8" s="82" t="s">
        <v>43</v>
      </c>
    </row>
    <row r="9" ht="32" customHeight="1" spans="1:6">
      <c r="A9" s="84" t="s">
        <v>50</v>
      </c>
      <c r="B9" s="85" t="str">
        <f>项目基本情况!B4</f>
        <v>内江市第一人民医院</v>
      </c>
      <c r="C9" s="5"/>
      <c r="D9" s="5"/>
      <c r="E9" s="5"/>
      <c r="F9" s="5"/>
    </row>
    <row r="10" ht="32" customHeight="1" spans="1:6">
      <c r="A10" s="86"/>
      <c r="B10" s="87"/>
      <c r="C10" s="5"/>
      <c r="D10" s="5"/>
      <c r="E10" s="5"/>
      <c r="F10" s="5"/>
    </row>
    <row r="11" ht="32" customHeight="1" spans="1:6">
      <c r="A11" s="82"/>
      <c r="B11" s="87"/>
      <c r="C11" s="5"/>
      <c r="D11" s="5"/>
      <c r="E11" s="5"/>
      <c r="F11" s="36"/>
    </row>
    <row r="12" ht="32" customHeight="1" spans="1:6">
      <c r="A12" s="5" t="s">
        <v>51</v>
      </c>
      <c r="B12" s="88"/>
      <c r="C12" s="5"/>
      <c r="D12" s="5"/>
      <c r="E12" s="5"/>
      <c r="F12" s="36"/>
    </row>
    <row r="13" ht="45" customHeight="1" spans="1:6">
      <c r="A13" s="89"/>
      <c r="B13" s="89"/>
      <c r="C13" s="89"/>
      <c r="D13" s="89"/>
      <c r="E13" s="89"/>
      <c r="F13" s="89"/>
    </row>
    <row r="14" ht="45" hidden="1" customHeight="1" spans="1:6">
      <c r="A14" s="89"/>
      <c r="B14" s="89"/>
      <c r="C14" s="89"/>
      <c r="D14" s="89"/>
      <c r="E14" s="89"/>
      <c r="F14" s="89"/>
    </row>
    <row r="15" ht="45" hidden="1" customHeight="1" spans="1:6">
      <c r="A15" s="89"/>
      <c r="B15" s="89"/>
      <c r="C15" s="89"/>
      <c r="D15" s="89"/>
      <c r="E15" s="89"/>
      <c r="F15" s="89"/>
    </row>
  </sheetData>
  <mergeCells count="10">
    <mergeCell ref="A1:F1"/>
    <mergeCell ref="A2:F2"/>
    <mergeCell ref="A3:C3"/>
    <mergeCell ref="D3:F3"/>
    <mergeCell ref="A4:C4"/>
    <mergeCell ref="D4:F4"/>
    <mergeCell ref="A5:C5"/>
    <mergeCell ref="D5:F5"/>
    <mergeCell ref="A9:A11"/>
    <mergeCell ref="B9:B12"/>
  </mergeCells>
  <pageMargins left="0.66875" right="0" top="1.10208333333333" bottom="1" header="0.5" footer="0.5"/>
  <pageSetup paperSize="9" scale="95" orientation="landscape" horizont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8"/>
  <sheetViews>
    <sheetView tabSelected="1" workbookViewId="0">
      <selection activeCell="H8" sqref="H8:H9"/>
    </sheetView>
  </sheetViews>
  <sheetFormatPr defaultColWidth="9" defaultRowHeight="18.75"/>
  <cols>
    <col min="1" max="1" width="6.5" style="50" customWidth="1"/>
    <col min="2" max="2" width="5.75" style="50" customWidth="1"/>
    <col min="3" max="5" width="9.625" style="50" customWidth="1"/>
    <col min="6" max="6" width="16.625" style="50" customWidth="1"/>
    <col min="7" max="7" width="9.625" style="50" customWidth="1"/>
    <col min="8" max="8" width="10.625" style="50" customWidth="1"/>
    <col min="9" max="10" width="9" style="50"/>
    <col min="11" max="11" width="10.375" style="50"/>
    <col min="12" max="16384" width="9" style="50"/>
  </cols>
  <sheetData>
    <row r="1" s="48" customFormat="1" ht="30" customHeight="1" spans="1:8">
      <c r="A1" s="51" t="s">
        <v>52</v>
      </c>
      <c r="B1" s="51"/>
      <c r="C1" s="51"/>
      <c r="D1" s="51"/>
      <c r="E1" s="51"/>
      <c r="F1" s="51"/>
      <c r="G1" s="51"/>
      <c r="H1" s="51"/>
    </row>
    <row r="2" s="49" customFormat="1" ht="28" customHeight="1" spans="1:8">
      <c r="A2" s="52" t="s">
        <v>53</v>
      </c>
      <c r="B2" s="52"/>
      <c r="C2" s="52"/>
      <c r="D2" s="52"/>
      <c r="E2" s="52"/>
      <c r="F2" s="5"/>
      <c r="G2" s="52"/>
      <c r="H2" s="52"/>
    </row>
    <row r="3" s="50" customFormat="1" ht="30" customHeight="1" spans="1:8">
      <c r="A3" s="53" t="s">
        <v>54</v>
      </c>
      <c r="B3" s="54"/>
      <c r="C3" s="53" t="str">
        <f>项目基本情况!B2</f>
        <v>内江市第一人民xxxx采购项目（第xx次）</v>
      </c>
      <c r="D3" s="55"/>
      <c r="E3" s="55"/>
      <c r="F3" s="55"/>
      <c r="G3" s="55"/>
      <c r="H3" s="54"/>
    </row>
    <row r="4" s="50" customFormat="1" ht="75" customHeight="1" spans="1:8">
      <c r="A4" s="53" t="s">
        <v>55</v>
      </c>
      <c r="B4" s="54"/>
      <c r="C4" s="53" t="s">
        <v>56</v>
      </c>
      <c r="D4" s="54"/>
      <c r="E4" s="56" t="s">
        <v>57</v>
      </c>
      <c r="F4" s="56" t="str">
        <f>项目基本情况!B6</f>
        <v>NJYY-YNJX-0xx</v>
      </c>
      <c r="G4" s="56" t="s">
        <v>11</v>
      </c>
      <c r="H4" s="56" t="str">
        <f>项目基本情况!B7</f>
        <v>NJYY-YNJX-0xx-2</v>
      </c>
    </row>
    <row r="5" s="49" customFormat="1" ht="42" customHeight="1" spans="1:11">
      <c r="A5" s="53" t="s">
        <v>58</v>
      </c>
      <c r="B5" s="54"/>
      <c r="C5" s="57" t="str">
        <f>项目基本情况!B9</f>
        <v>2024年XX月XX日</v>
      </c>
      <c r="D5" s="54"/>
      <c r="E5" s="56" t="s">
        <v>59</v>
      </c>
      <c r="F5" s="58" t="str">
        <f>项目基本情况!B8</f>
        <v>内江市第一人民医院门诊三楼会议室</v>
      </c>
      <c r="G5" s="56" t="s">
        <v>60</v>
      </c>
      <c r="H5" s="58" t="s">
        <v>61</v>
      </c>
      <c r="K5" s="50"/>
    </row>
    <row r="6" s="49" customFormat="1" ht="30" customHeight="1" spans="1:11">
      <c r="A6" s="52" t="s">
        <v>62</v>
      </c>
      <c r="B6" s="52"/>
      <c r="C6" s="52"/>
      <c r="D6" s="52"/>
      <c r="E6" s="52"/>
      <c r="F6" s="5"/>
      <c r="G6" s="52"/>
      <c r="H6" s="52"/>
      <c r="K6" s="50"/>
    </row>
    <row r="7" ht="30" customHeight="1" spans="1:8">
      <c r="A7" s="4" t="s">
        <v>26</v>
      </c>
      <c r="B7" s="53" t="s">
        <v>27</v>
      </c>
      <c r="C7" s="54"/>
      <c r="D7" s="54" t="s">
        <v>63</v>
      </c>
      <c r="E7" s="56" t="s">
        <v>64</v>
      </c>
      <c r="F7" s="56" t="s">
        <v>65</v>
      </c>
      <c r="G7" s="59" t="s">
        <v>66</v>
      </c>
      <c r="H7" s="56" t="s">
        <v>67</v>
      </c>
    </row>
    <row r="8" ht="50" customHeight="1" spans="1:18">
      <c r="A8" s="60">
        <v>1</v>
      </c>
      <c r="B8" s="61" t="s">
        <v>68</v>
      </c>
      <c r="C8" s="62"/>
      <c r="D8" s="60" t="s">
        <v>69</v>
      </c>
      <c r="E8" s="60" t="s">
        <v>70</v>
      </c>
      <c r="F8" s="60" t="s">
        <v>70</v>
      </c>
      <c r="G8" s="63" t="str">
        <f>附件三、评审过程!G12</f>
        <v>评审分（平均值）/报价</v>
      </c>
      <c r="H8" s="60">
        <v>1</v>
      </c>
      <c r="R8" s="50" t="s">
        <v>71</v>
      </c>
    </row>
    <row r="9" ht="50" customHeight="1" spans="1:8">
      <c r="A9" s="64"/>
      <c r="B9" s="65"/>
      <c r="C9" s="66"/>
      <c r="D9" s="64"/>
      <c r="E9" s="64"/>
      <c r="F9" s="64"/>
      <c r="G9" s="67" t="s">
        <v>72</v>
      </c>
      <c r="H9" s="68"/>
    </row>
    <row r="10" ht="30" customHeight="1" spans="1:8">
      <c r="A10" s="69" t="s">
        <v>73</v>
      </c>
      <c r="B10" s="70"/>
      <c r="C10" s="70"/>
      <c r="D10" s="70"/>
      <c r="E10" s="70"/>
      <c r="F10" s="4"/>
      <c r="G10" s="70"/>
      <c r="H10" s="70"/>
    </row>
    <row r="11" ht="30" customHeight="1" spans="1:8">
      <c r="A11" s="52" t="s">
        <v>74</v>
      </c>
      <c r="B11" s="52"/>
      <c r="C11" s="52"/>
      <c r="D11" s="52"/>
      <c r="E11" s="52"/>
      <c r="F11" s="5"/>
      <c r="G11" s="52"/>
      <c r="H11" s="52"/>
    </row>
    <row r="12" ht="30" customHeight="1" spans="1:8">
      <c r="A12" s="56" t="s">
        <v>75</v>
      </c>
      <c r="B12" s="56"/>
      <c r="C12" s="56"/>
      <c r="D12" s="56"/>
      <c r="E12" s="56"/>
      <c r="F12" s="56"/>
      <c r="G12" s="56"/>
      <c r="H12" s="56"/>
    </row>
    <row r="13" ht="30" customHeight="1" spans="1:8">
      <c r="A13" s="71" t="s">
        <v>76</v>
      </c>
      <c r="B13" s="71"/>
      <c r="C13" s="71"/>
      <c r="D13" s="71"/>
      <c r="E13" s="71"/>
      <c r="F13" s="71"/>
      <c r="G13" s="71"/>
      <c r="H13" s="71"/>
    </row>
    <row r="14" s="49" customFormat="1" ht="30" hidden="1" customHeight="1" spans="1:8">
      <c r="A14" s="72" t="s">
        <v>77</v>
      </c>
      <c r="B14" s="72"/>
      <c r="C14" s="72"/>
      <c r="D14" s="72"/>
      <c r="E14" s="72"/>
      <c r="F14" s="72"/>
      <c r="G14" s="72"/>
      <c r="H14" s="72"/>
    </row>
    <row r="15" s="50" customFormat="1" ht="30" hidden="1" customHeight="1" spans="1:8">
      <c r="A15" s="37" t="s">
        <v>78</v>
      </c>
      <c r="B15" s="37"/>
      <c r="C15" s="37"/>
      <c r="D15" s="37"/>
      <c r="E15" s="37"/>
      <c r="F15" s="37"/>
      <c r="G15" s="37"/>
      <c r="H15" s="37"/>
    </row>
    <row r="16" s="50" customFormat="1" ht="30" hidden="1" customHeight="1" spans="1:8">
      <c r="A16" s="37" t="s">
        <v>79</v>
      </c>
      <c r="B16" s="37"/>
      <c r="C16" s="37"/>
      <c r="D16" s="37"/>
      <c r="E16" s="37"/>
      <c r="F16" s="37"/>
      <c r="G16" s="37"/>
      <c r="H16" s="37"/>
    </row>
    <row r="17" s="49" customFormat="1" ht="30" hidden="1" customHeight="1" spans="1:8">
      <c r="A17" s="72" t="s">
        <v>80</v>
      </c>
      <c r="B17" s="72"/>
      <c r="C17" s="72"/>
      <c r="D17" s="72"/>
      <c r="E17" s="72"/>
      <c r="F17" s="72"/>
      <c r="G17" s="72"/>
      <c r="H17" s="72"/>
    </row>
    <row r="18" ht="135" hidden="1" customHeight="1" spans="1:8">
      <c r="A18" s="73" t="s">
        <v>81</v>
      </c>
      <c r="B18" s="73"/>
      <c r="C18" s="73"/>
      <c r="D18" s="73"/>
      <c r="E18" s="73"/>
      <c r="F18" s="73"/>
      <c r="G18" s="73"/>
      <c r="H18" s="73"/>
    </row>
  </sheetData>
  <sheetProtection formatCells="0" formatColumns="0" formatRows="0" insertRows="0" insertColumns="0" insertHyperlinks="0" deleteColumns="0" deleteRows="0" sort="0" autoFilter="0" pivotTables="0"/>
  <mergeCells count="27">
    <mergeCell ref="A1:H1"/>
    <mergeCell ref="A2:H2"/>
    <mergeCell ref="A3:B3"/>
    <mergeCell ref="C3:H3"/>
    <mergeCell ref="A4:B4"/>
    <mergeCell ref="C4:D4"/>
    <mergeCell ref="A5:B5"/>
    <mergeCell ref="C5:D5"/>
    <mergeCell ref="A6:H6"/>
    <mergeCell ref="B7:C7"/>
    <mergeCell ref="A10:H10"/>
    <mergeCell ref="A11:H11"/>
    <mergeCell ref="A12:B12"/>
    <mergeCell ref="C12:H12"/>
    <mergeCell ref="A13:B13"/>
    <mergeCell ref="C13:H13"/>
    <mergeCell ref="A14:H14"/>
    <mergeCell ref="A15:H15"/>
    <mergeCell ref="A16:H16"/>
    <mergeCell ref="A17:H17"/>
    <mergeCell ref="A18:H18"/>
    <mergeCell ref="A8:A9"/>
    <mergeCell ref="D8:D9"/>
    <mergeCell ref="E8:E9"/>
    <mergeCell ref="F8:F9"/>
    <mergeCell ref="H8:H9"/>
    <mergeCell ref="B8:C9"/>
  </mergeCells>
  <pageMargins left="0.75" right="0.75" top="1" bottom="1" header="0.5" footer="0.5"/>
  <pageSetup paperSize="9" scale="110" fitToHeight="0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12"/>
  <sheetViews>
    <sheetView zoomScale="70" zoomScaleNormal="70" workbookViewId="0">
      <selection activeCell="C10" sqref="C10:G10"/>
    </sheetView>
  </sheetViews>
  <sheetFormatPr defaultColWidth="9" defaultRowHeight="13.5"/>
  <cols>
    <col min="1" max="1" width="8.03333333333333" style="17" customWidth="1"/>
    <col min="2" max="2" width="33.7583333333333" style="1" customWidth="1"/>
    <col min="3" max="15" width="12.625" style="1" customWidth="1"/>
    <col min="16" max="16384" width="9" style="1"/>
  </cols>
  <sheetData>
    <row r="1" s="14" customFormat="1" ht="78" customHeight="1" spans="1:17">
      <c r="A1" s="31" t="s">
        <v>82</v>
      </c>
      <c r="B1" s="32"/>
      <c r="C1" s="32"/>
      <c r="D1" s="32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</row>
    <row r="2" s="2" customFormat="1" ht="64" customHeight="1" spans="1:17">
      <c r="A2" s="5" t="s">
        <v>83</v>
      </c>
      <c r="B2" s="5" t="str">
        <f>项目基本情况!B2</f>
        <v>内江市第一人民xxxx采购项目（第xx次）</v>
      </c>
      <c r="C2" s="5"/>
      <c r="D2" s="5"/>
      <c r="E2" s="5" t="s">
        <v>84</v>
      </c>
      <c r="F2" s="5" t="str">
        <f>项目基本情况!B6</f>
        <v>NJYY-YNJX-0xx</v>
      </c>
      <c r="G2" s="5"/>
      <c r="H2" s="5" t="s">
        <v>11</v>
      </c>
      <c r="I2" s="43" t="str">
        <f>项目基本情况!B7</f>
        <v>NJYY-YNJX-0xx-2</v>
      </c>
      <c r="J2" s="44"/>
      <c r="K2" s="5" t="s">
        <v>85</v>
      </c>
      <c r="L2" s="45" t="str">
        <f>项目基本情况!B9</f>
        <v>2024年XX月XX日</v>
      </c>
      <c r="M2" s="45"/>
      <c r="N2" s="46" t="s">
        <v>86</v>
      </c>
      <c r="O2" s="43" t="str">
        <f>项目基本情况!B8</f>
        <v>内江市第一人民医院门诊三楼会议室</v>
      </c>
      <c r="P2" s="47"/>
      <c r="Q2" s="44"/>
    </row>
    <row r="3" s="2" customFormat="1" ht="32" customHeight="1" spans="1:17">
      <c r="A3" s="5" t="s">
        <v>26</v>
      </c>
      <c r="B3" s="33" t="s">
        <v>27</v>
      </c>
      <c r="C3" s="34" t="s">
        <v>87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 t="s">
        <v>88</v>
      </c>
      <c r="Q3" s="34"/>
    </row>
    <row r="4" s="2" customFormat="1" ht="222" customHeight="1" spans="1:17">
      <c r="A4" s="5"/>
      <c r="B4" s="33"/>
      <c r="C4" s="5" t="s">
        <v>89</v>
      </c>
      <c r="D4" s="5" t="s">
        <v>90</v>
      </c>
      <c r="E4" s="5" t="s">
        <v>91</v>
      </c>
      <c r="F4" s="5" t="s">
        <v>92</v>
      </c>
      <c r="G4" s="5" t="s">
        <v>93</v>
      </c>
      <c r="H4" s="5" t="s">
        <v>94</v>
      </c>
      <c r="I4" s="5" t="s">
        <v>95</v>
      </c>
      <c r="J4" s="5" t="s">
        <v>96</v>
      </c>
      <c r="K4" s="5" t="s">
        <v>97</v>
      </c>
      <c r="L4" s="5" t="s">
        <v>98</v>
      </c>
      <c r="M4" s="5" t="s">
        <v>99</v>
      </c>
      <c r="N4" s="5" t="s">
        <v>100</v>
      </c>
      <c r="O4" s="5" t="s">
        <v>101</v>
      </c>
      <c r="P4" s="33" t="s">
        <v>102</v>
      </c>
      <c r="Q4" s="33" t="s">
        <v>103</v>
      </c>
    </row>
    <row r="5" s="30" customFormat="1" ht="58" customHeight="1" spans="1:17">
      <c r="A5" s="33">
        <v>1</v>
      </c>
      <c r="B5" s="35" t="str">
        <f>项目基本情况!B10</f>
        <v>xxxx有限公司1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</row>
    <row r="6" s="30" customFormat="1" ht="58" customHeight="1" spans="1:17">
      <c r="A6" s="33">
        <v>2</v>
      </c>
      <c r="B6" s="35" t="str">
        <f>项目基本情况!B11</f>
        <v>xxxx有限公司2</v>
      </c>
      <c r="C6" s="37"/>
      <c r="D6" s="37"/>
      <c r="E6" s="37"/>
      <c r="F6" s="37"/>
      <c r="G6" s="37"/>
      <c r="H6" s="33"/>
      <c r="I6" s="33"/>
      <c r="J6" s="37"/>
      <c r="K6" s="37"/>
      <c r="L6" s="37"/>
      <c r="M6" s="37"/>
      <c r="N6" s="37"/>
      <c r="O6" s="37"/>
      <c r="P6" s="37"/>
      <c r="Q6" s="37"/>
    </row>
    <row r="7" s="30" customFormat="1" ht="58" customHeight="1" spans="1:17">
      <c r="A7" s="33">
        <v>3</v>
      </c>
      <c r="B7" s="35" t="str">
        <f>项目基本情况!B12</f>
        <v>xxxx有限公司3</v>
      </c>
      <c r="C7" s="37"/>
      <c r="D7" s="37"/>
      <c r="E7" s="37"/>
      <c r="F7" s="37"/>
      <c r="G7" s="37"/>
      <c r="H7" s="33"/>
      <c r="I7" s="33"/>
      <c r="J7" s="37"/>
      <c r="K7" s="37"/>
      <c r="L7" s="37"/>
      <c r="M7" s="37"/>
      <c r="N7" s="37"/>
      <c r="O7" s="37"/>
      <c r="P7" s="37"/>
      <c r="Q7" s="37"/>
    </row>
    <row r="8" s="30" customFormat="1" ht="58" customHeight="1" spans="1:17">
      <c r="A8" s="33">
        <v>4</v>
      </c>
      <c r="B8" s="35" t="str">
        <f>项目基本情况!B13</f>
        <v>xxxx有限公司4</v>
      </c>
      <c r="C8" s="37"/>
      <c r="D8" s="37"/>
      <c r="E8" s="37"/>
      <c r="F8" s="37"/>
      <c r="G8" s="37"/>
      <c r="H8" s="33"/>
      <c r="I8" s="33"/>
      <c r="J8" s="37"/>
      <c r="K8" s="37"/>
      <c r="L8" s="37"/>
      <c r="M8" s="37"/>
      <c r="N8" s="37"/>
      <c r="O8" s="37"/>
      <c r="P8" s="37"/>
      <c r="Q8" s="37"/>
    </row>
    <row r="9" s="30" customFormat="1" ht="58" customHeight="1" spans="1:17">
      <c r="A9" s="33">
        <v>5</v>
      </c>
      <c r="B9" s="35" t="str">
        <f>项目基本情况!B14</f>
        <v>xxxx有限公司5</v>
      </c>
      <c r="C9" s="37"/>
      <c r="D9" s="37"/>
      <c r="E9" s="37"/>
      <c r="F9" s="37"/>
      <c r="G9" s="37"/>
      <c r="H9" s="33"/>
      <c r="I9" s="33"/>
      <c r="J9" s="37"/>
      <c r="K9" s="37"/>
      <c r="L9" s="37"/>
      <c r="M9" s="37"/>
      <c r="N9" s="37"/>
      <c r="O9" s="37"/>
      <c r="P9" s="37"/>
      <c r="Q9" s="37"/>
    </row>
    <row r="10" s="30" customFormat="1" ht="58" customHeight="1" spans="1:17">
      <c r="A10" s="33" t="s">
        <v>104</v>
      </c>
      <c r="B10" s="33"/>
      <c r="C10" s="38"/>
      <c r="D10" s="39"/>
      <c r="E10" s="39"/>
      <c r="F10" s="39"/>
      <c r="G10" s="40"/>
      <c r="H10" s="33" t="s">
        <v>105</v>
      </c>
      <c r="I10" s="33"/>
      <c r="J10" s="38"/>
      <c r="K10" s="39"/>
      <c r="L10" s="39"/>
      <c r="M10" s="39"/>
      <c r="N10" s="39"/>
      <c r="O10" s="39"/>
      <c r="P10" s="39"/>
      <c r="Q10" s="40"/>
    </row>
    <row r="11" ht="25" customHeight="1" spans="1:17">
      <c r="A11" s="41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</row>
    <row r="12" ht="25" customHeight="1" spans="1:17">
      <c r="A12" s="41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</row>
  </sheetData>
  <sheetProtection formatCells="0" formatColumns="0" formatRows="0" insertRows="0" insertColumns="0" insertHyperlinks="0" deleteColumns="0" deleteRows="0" sort="0" autoFilter="0" pivotTables="0"/>
  <mergeCells count="12">
    <mergeCell ref="A1:Q1"/>
    <mergeCell ref="B2:D2"/>
    <mergeCell ref="F2:G2"/>
    <mergeCell ref="I2:J2"/>
    <mergeCell ref="L2:M2"/>
    <mergeCell ref="O2:Q2"/>
    <mergeCell ref="A10:B10"/>
    <mergeCell ref="C10:G10"/>
    <mergeCell ref="H10:I10"/>
    <mergeCell ref="J10:Q10"/>
    <mergeCell ref="A3:A4"/>
    <mergeCell ref="B3:B4"/>
  </mergeCells>
  <pageMargins left="0.75" right="0.75" top="1" bottom="1" header="0.5" footer="0.5"/>
  <pageSetup paperSize="9" scale="59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selection activeCell="H6" sqref="H6"/>
    </sheetView>
  </sheetViews>
  <sheetFormatPr defaultColWidth="9" defaultRowHeight="13.5"/>
  <cols>
    <col min="1" max="1" width="5.375" style="17" customWidth="1"/>
    <col min="2" max="2" width="3.875" style="17" customWidth="1"/>
    <col min="3" max="3" width="24.875" style="1" customWidth="1"/>
    <col min="4" max="9" width="13.625" style="1" customWidth="1"/>
  </cols>
  <sheetData>
    <row r="1" s="14" customFormat="1" ht="48" customHeight="1" spans="1:9">
      <c r="A1" s="18" t="s">
        <v>106</v>
      </c>
      <c r="B1" s="18"/>
      <c r="C1" s="18"/>
      <c r="D1" s="18"/>
      <c r="E1" s="18"/>
      <c r="F1" s="18"/>
      <c r="G1" s="18"/>
      <c r="H1" s="18"/>
      <c r="I1" s="18"/>
    </row>
    <row r="2" s="15" customFormat="1" ht="32" customHeight="1" spans="1:9">
      <c r="A2" s="4" t="s">
        <v>83</v>
      </c>
      <c r="B2" s="4"/>
      <c r="C2" s="9" t="str">
        <f>项目基本情况!B2</f>
        <v>内江市第一人民xxxx采购项目（第xx次）</v>
      </c>
      <c r="D2" s="19"/>
      <c r="E2" s="19"/>
      <c r="F2" s="10"/>
      <c r="G2" s="4" t="s">
        <v>84</v>
      </c>
      <c r="H2" s="4" t="str">
        <f>项目基本情况!B6</f>
        <v>NJYY-YNJX-0xx</v>
      </c>
      <c r="I2" s="4"/>
    </row>
    <row r="3" s="15" customFormat="1" ht="32" customHeight="1" spans="1:9">
      <c r="A3" s="9" t="s">
        <v>11</v>
      </c>
      <c r="B3" s="10"/>
      <c r="C3" s="4" t="str">
        <f>项目基本情况!B7</f>
        <v>NJYY-YNJX-0xx-2</v>
      </c>
      <c r="D3" s="4" t="s">
        <v>85</v>
      </c>
      <c r="E3" s="20" t="str">
        <f>项目基本情况!B9</f>
        <v>2024年XX月XX日</v>
      </c>
      <c r="F3" s="10"/>
      <c r="G3" s="4" t="s">
        <v>86</v>
      </c>
      <c r="H3" s="4" t="str">
        <f>项目基本情况!B8</f>
        <v>内江市第一人民医院门诊三楼会议室</v>
      </c>
      <c r="I3" s="4"/>
    </row>
    <row r="4" s="16" customFormat="1" ht="32" customHeight="1" spans="1:9">
      <c r="A4" s="4" t="s">
        <v>26</v>
      </c>
      <c r="B4" s="21" t="s">
        <v>27</v>
      </c>
      <c r="C4" s="22"/>
      <c r="D4" s="6" t="s">
        <v>107</v>
      </c>
      <c r="E4" s="6"/>
      <c r="F4" s="6"/>
      <c r="G4" s="6"/>
      <c r="H4" s="7" t="s">
        <v>88</v>
      </c>
      <c r="I4" s="8"/>
    </row>
    <row r="5" s="16" customFormat="1" ht="89" customHeight="1" spans="1:9">
      <c r="A5" s="4"/>
      <c r="B5" s="23"/>
      <c r="C5" s="24"/>
      <c r="D5" s="25" t="s">
        <v>108</v>
      </c>
      <c r="E5" s="26"/>
      <c r="F5" s="25" t="s">
        <v>109</v>
      </c>
      <c r="G5" s="26"/>
      <c r="H5" s="6" t="s">
        <v>102</v>
      </c>
      <c r="I5" s="6" t="s">
        <v>103</v>
      </c>
    </row>
    <row r="6" s="16" customFormat="1" ht="32" customHeight="1" spans="1:9">
      <c r="A6" s="4">
        <v>1</v>
      </c>
      <c r="B6" s="6" t="str">
        <f>项目基本情况!B10</f>
        <v>xxxx有限公司1</v>
      </c>
      <c r="C6" s="6"/>
      <c r="D6" s="25"/>
      <c r="E6" s="26"/>
      <c r="F6" s="25"/>
      <c r="G6" s="26"/>
      <c r="H6" s="6"/>
      <c r="I6" s="6"/>
    </row>
    <row r="7" s="16" customFormat="1" ht="32" customHeight="1" spans="1:9">
      <c r="A7" s="4">
        <v>2</v>
      </c>
      <c r="B7" s="6" t="str">
        <f>项目基本情况!B11</f>
        <v>xxxx有限公司2</v>
      </c>
      <c r="C7" s="6"/>
      <c r="D7" s="25"/>
      <c r="E7" s="26"/>
      <c r="F7" s="25"/>
      <c r="G7" s="26"/>
      <c r="H7" s="6"/>
      <c r="I7" s="6"/>
    </row>
    <row r="8" s="16" customFormat="1" ht="32" customHeight="1" spans="1:9">
      <c r="A8" s="4">
        <v>3</v>
      </c>
      <c r="B8" s="6" t="str">
        <f>项目基本情况!B12</f>
        <v>xxxx有限公司3</v>
      </c>
      <c r="C8" s="6"/>
      <c r="D8" s="25"/>
      <c r="E8" s="26"/>
      <c r="F8" s="25"/>
      <c r="G8" s="26"/>
      <c r="H8" s="6"/>
      <c r="I8" s="6"/>
    </row>
    <row r="9" s="16" customFormat="1" ht="32" customHeight="1" spans="1:9">
      <c r="A9" s="4">
        <v>4</v>
      </c>
      <c r="B9" s="6" t="str">
        <f>项目基本情况!B13</f>
        <v>xxxx有限公司4</v>
      </c>
      <c r="C9" s="6"/>
      <c r="D9" s="25"/>
      <c r="E9" s="26"/>
      <c r="F9" s="25"/>
      <c r="G9" s="26"/>
      <c r="H9" s="6"/>
      <c r="I9" s="6"/>
    </row>
    <row r="10" s="1" customFormat="1" ht="32" customHeight="1" spans="1:9">
      <c r="A10" s="4">
        <v>5</v>
      </c>
      <c r="B10" s="6" t="str">
        <f>项目基本情况!B14</f>
        <v>xxxx有限公司5</v>
      </c>
      <c r="C10" s="6"/>
      <c r="D10" s="25"/>
      <c r="E10" s="26"/>
      <c r="F10" s="25"/>
      <c r="G10" s="26"/>
      <c r="H10" s="27"/>
      <c r="I10" s="27"/>
    </row>
    <row r="11" s="1" customFormat="1" ht="32" customHeight="1" spans="1:9">
      <c r="A11" s="6" t="s">
        <v>110</v>
      </c>
      <c r="B11" s="6"/>
      <c r="C11" s="6"/>
      <c r="D11" s="28"/>
      <c r="E11" s="28"/>
      <c r="F11" s="28"/>
      <c r="G11" s="28"/>
      <c r="H11" s="28"/>
      <c r="I11" s="28"/>
    </row>
    <row r="12" ht="32" customHeight="1" spans="1:9">
      <c r="A12" s="6" t="s">
        <v>75</v>
      </c>
      <c r="B12" s="6"/>
      <c r="C12" s="6"/>
      <c r="D12" s="28"/>
      <c r="E12" s="28"/>
      <c r="F12" s="28"/>
      <c r="G12" s="28"/>
      <c r="H12" s="28"/>
      <c r="I12" s="28"/>
    </row>
    <row r="13" spans="1:9">
      <c r="A13" s="29" t="s">
        <v>111</v>
      </c>
      <c r="B13" s="29"/>
      <c r="C13" s="29"/>
      <c r="D13" s="29"/>
      <c r="E13" s="29"/>
      <c r="F13" s="29"/>
      <c r="G13" s="29"/>
      <c r="H13" s="29"/>
      <c r="I13" s="29"/>
    </row>
  </sheetData>
  <sheetProtection formatCells="0" formatColumns="0" formatRows="0" insertRows="0" insertColumns="0" insertHyperlinks="0" deleteColumns="0" deleteRows="0" sort="0" autoFilter="0" pivotTables="0"/>
  <mergeCells count="33">
    <mergeCell ref="A1:I1"/>
    <mergeCell ref="A2:B2"/>
    <mergeCell ref="C2:F2"/>
    <mergeCell ref="H2:I2"/>
    <mergeCell ref="A3:B3"/>
    <mergeCell ref="E3:F3"/>
    <mergeCell ref="H3:I3"/>
    <mergeCell ref="D4:G4"/>
    <mergeCell ref="H4:I4"/>
    <mergeCell ref="D5:E5"/>
    <mergeCell ref="F5:G5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A11:C11"/>
    <mergeCell ref="D11:I11"/>
    <mergeCell ref="A12:C12"/>
    <mergeCell ref="D12:I12"/>
    <mergeCell ref="A13:I13"/>
    <mergeCell ref="A4:A5"/>
    <mergeCell ref="B4:C5"/>
  </mergeCells>
  <pageMargins left="0.75" right="0.75" top="1" bottom="1" header="0.5" footer="0.5"/>
  <pageSetup paperSize="9" scale="110" fitToHeight="0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topLeftCell="A3" workbookViewId="0">
      <selection activeCell="C16" sqref="C16:D16"/>
    </sheetView>
  </sheetViews>
  <sheetFormatPr defaultColWidth="9" defaultRowHeight="13.5" outlineLevelCol="7"/>
  <cols>
    <col min="1" max="1" width="5.625" style="1" customWidth="1"/>
    <col min="2" max="2" width="26.5" style="1" customWidth="1"/>
    <col min="3" max="4" width="13.625" style="1" customWidth="1"/>
    <col min="5" max="6" width="10.625" style="1" customWidth="1"/>
    <col min="7" max="7" width="15.625" style="1" customWidth="1"/>
    <col min="8" max="8" width="10.625" style="1" customWidth="1"/>
  </cols>
  <sheetData>
    <row r="1" ht="39" customHeight="1" spans="1:8">
      <c r="A1" s="3" t="s">
        <v>112</v>
      </c>
      <c r="B1" s="3"/>
      <c r="C1" s="3"/>
      <c r="D1" s="3"/>
      <c r="E1" s="3"/>
      <c r="F1" s="3"/>
      <c r="G1" s="3"/>
      <c r="H1" s="3"/>
    </row>
    <row r="2" ht="60" customHeight="1" spans="1:8">
      <c r="A2" s="4" t="s">
        <v>54</v>
      </c>
      <c r="B2" s="4"/>
      <c r="C2" s="4" t="str">
        <f>项目基本情况!B2</f>
        <v>内江市第一人民xxxx采购项目（第xx次）</v>
      </c>
      <c r="D2" s="4"/>
      <c r="E2" s="4" t="s">
        <v>57</v>
      </c>
      <c r="F2" s="4" t="str">
        <f>项目基本情况!B6</f>
        <v>NJYY-YNJX-0xx</v>
      </c>
      <c r="G2" s="4" t="s">
        <v>11</v>
      </c>
      <c r="H2" s="4" t="str">
        <f>项目基本情况!B7</f>
        <v>NJYY-YNJX-0xx-2</v>
      </c>
    </row>
    <row r="3" ht="32" customHeight="1" spans="1:8">
      <c r="A3" s="5" t="s">
        <v>113</v>
      </c>
      <c r="B3" s="5"/>
      <c r="C3" s="5"/>
      <c r="D3" s="5"/>
      <c r="E3" s="5"/>
      <c r="F3" s="5"/>
      <c r="G3" s="5"/>
      <c r="H3" s="5"/>
    </row>
    <row r="4" ht="32" customHeight="1" spans="1:8">
      <c r="A4" s="6" t="s">
        <v>26</v>
      </c>
      <c r="B4" s="4" t="s">
        <v>27</v>
      </c>
      <c r="C4" s="7" t="s">
        <v>114</v>
      </c>
      <c r="D4" s="8"/>
      <c r="E4" s="7" t="s">
        <v>115</v>
      </c>
      <c r="F4" s="8"/>
      <c r="G4" s="7" t="s">
        <v>116</v>
      </c>
      <c r="H4" s="8"/>
    </row>
    <row r="5" customFormat="1" ht="32" customHeight="1" spans="1:8">
      <c r="A5" s="6">
        <v>1</v>
      </c>
      <c r="B5" s="4" t="str">
        <f>项目基本情况!B10</f>
        <v>xxxx有限公司1</v>
      </c>
      <c r="C5" s="7"/>
      <c r="D5" s="8"/>
      <c r="E5" s="7"/>
      <c r="F5" s="8"/>
      <c r="G5" s="7"/>
      <c r="H5" s="8"/>
    </row>
    <row r="6" customFormat="1" ht="32" customHeight="1" spans="1:8">
      <c r="A6" s="6">
        <v>2</v>
      </c>
      <c r="B6" s="4" t="str">
        <f>项目基本情况!B11</f>
        <v>xxxx有限公司2</v>
      </c>
      <c r="C6" s="7"/>
      <c r="D6" s="8"/>
      <c r="E6" s="7"/>
      <c r="F6" s="8"/>
      <c r="G6" s="7"/>
      <c r="H6" s="8"/>
    </row>
    <row r="7" customFormat="1" ht="32" customHeight="1" spans="1:8">
      <c r="A7" s="6">
        <v>3</v>
      </c>
      <c r="B7" s="4" t="str">
        <f>项目基本情况!B12</f>
        <v>xxxx有限公司3</v>
      </c>
      <c r="C7" s="7"/>
      <c r="D7" s="8"/>
      <c r="E7" s="7"/>
      <c r="F7" s="8"/>
      <c r="G7" s="7"/>
      <c r="H7" s="8"/>
    </row>
    <row r="8" customFormat="1" ht="32" customHeight="1" spans="1:8">
      <c r="A8" s="6">
        <v>4</v>
      </c>
      <c r="B8" s="4" t="str">
        <f>项目基本情况!B13</f>
        <v>xxxx有限公司4</v>
      </c>
      <c r="C8" s="7"/>
      <c r="D8" s="8"/>
      <c r="E8" s="7"/>
      <c r="F8" s="8"/>
      <c r="G8" s="7"/>
      <c r="H8" s="8"/>
    </row>
    <row r="9" customFormat="1" ht="32" customHeight="1" spans="1:8">
      <c r="A9" s="6">
        <v>5</v>
      </c>
      <c r="B9" s="4" t="str">
        <f>项目基本情况!B14</f>
        <v>xxxx有限公司5</v>
      </c>
      <c r="C9" s="7"/>
      <c r="D9" s="8"/>
      <c r="E9" s="7"/>
      <c r="F9" s="8"/>
      <c r="G9" s="7"/>
      <c r="H9" s="8"/>
    </row>
    <row r="10" s="1" customFormat="1" ht="32" customHeight="1" spans="1:8">
      <c r="A10" s="5" t="s">
        <v>117</v>
      </c>
      <c r="B10" s="5"/>
      <c r="C10" s="5"/>
      <c r="D10" s="5"/>
      <c r="E10" s="5"/>
      <c r="F10" s="5"/>
      <c r="G10" s="5"/>
      <c r="H10" s="5"/>
    </row>
    <row r="11" s="1" customFormat="1" ht="32" customHeight="1" spans="1:8">
      <c r="A11" s="4" t="s">
        <v>26</v>
      </c>
      <c r="B11" s="4" t="s">
        <v>27</v>
      </c>
      <c r="C11" s="9" t="s">
        <v>118</v>
      </c>
      <c r="D11" s="10"/>
      <c r="E11" s="9" t="s">
        <v>119</v>
      </c>
      <c r="F11" s="10"/>
      <c r="G11" s="4" t="s">
        <v>120</v>
      </c>
      <c r="H11" s="4" t="s">
        <v>121</v>
      </c>
    </row>
    <row r="12" s="1" customFormat="1" ht="32" customHeight="1" spans="1:8">
      <c r="A12" s="6">
        <v>1</v>
      </c>
      <c r="B12" s="4" t="str">
        <f>项目基本情况!B10</f>
        <v>xxxx有限公司1</v>
      </c>
      <c r="C12" s="9" t="s">
        <v>122</v>
      </c>
      <c r="D12" s="10"/>
      <c r="E12" s="9" t="s">
        <v>123</v>
      </c>
      <c r="F12" s="10"/>
      <c r="G12" s="4" t="s">
        <v>124</v>
      </c>
      <c r="H12" s="6">
        <v>1</v>
      </c>
    </row>
    <row r="13" ht="32" customHeight="1" spans="1:8">
      <c r="A13" s="11"/>
      <c r="B13" s="4" t="str">
        <f>项目基本情况!B11</f>
        <v>xxxx有限公司2</v>
      </c>
      <c r="C13" s="9" t="s">
        <v>122</v>
      </c>
      <c r="D13" s="10"/>
      <c r="E13" s="9" t="s">
        <v>123</v>
      </c>
      <c r="F13" s="10"/>
      <c r="G13" s="4" t="s">
        <v>124</v>
      </c>
      <c r="H13" s="6">
        <v>2</v>
      </c>
    </row>
    <row r="14" ht="32" customHeight="1" spans="1:8">
      <c r="A14" s="11"/>
      <c r="B14" s="4" t="str">
        <f>项目基本情况!B12</f>
        <v>xxxx有限公司3</v>
      </c>
      <c r="C14" s="9" t="s">
        <v>122</v>
      </c>
      <c r="D14" s="10"/>
      <c r="E14" s="9" t="s">
        <v>123</v>
      </c>
      <c r="F14" s="10"/>
      <c r="G14" s="4" t="s">
        <v>124</v>
      </c>
      <c r="H14" s="6">
        <v>3</v>
      </c>
    </row>
    <row r="15" ht="32" customHeight="1" spans="1:8">
      <c r="A15" s="11"/>
      <c r="B15" s="4" t="str">
        <f>项目基本情况!B13</f>
        <v>xxxx有限公司4</v>
      </c>
      <c r="C15" s="9" t="s">
        <v>122</v>
      </c>
      <c r="D15" s="10"/>
      <c r="E15" s="9" t="s">
        <v>123</v>
      </c>
      <c r="F15" s="10"/>
      <c r="G15" s="4" t="s">
        <v>124</v>
      </c>
      <c r="H15" s="6">
        <v>4</v>
      </c>
    </row>
    <row r="16" ht="32" customHeight="1" spans="1:8">
      <c r="A16" s="11"/>
      <c r="B16" s="4" t="str">
        <f>项目基本情况!B14</f>
        <v>xxxx有限公司5</v>
      </c>
      <c r="C16" s="9" t="s">
        <v>122</v>
      </c>
      <c r="D16" s="10"/>
      <c r="E16" s="9" t="s">
        <v>123</v>
      </c>
      <c r="F16" s="10"/>
      <c r="G16" s="4" t="s">
        <v>124</v>
      </c>
      <c r="H16" s="6">
        <v>5</v>
      </c>
    </row>
    <row r="17" s="2" customFormat="1" ht="18.75" hidden="1" spans="1:8">
      <c r="A17" s="12" t="s">
        <v>125</v>
      </c>
      <c r="B17" s="12"/>
      <c r="C17" s="12"/>
      <c r="D17" s="12"/>
      <c r="E17" s="12"/>
      <c r="F17" s="12"/>
      <c r="G17" s="12"/>
      <c r="H17" s="12"/>
    </row>
    <row r="18" ht="14.25" hidden="1" spans="1:8">
      <c r="A18" s="11"/>
      <c r="B18" s="11"/>
      <c r="C18" s="11"/>
      <c r="D18" s="11"/>
      <c r="E18" s="11"/>
      <c r="F18" s="11"/>
      <c r="G18" s="11"/>
      <c r="H18" s="11"/>
    </row>
    <row r="19" s="2" customFormat="1" ht="32" customHeight="1" spans="1:8">
      <c r="A19" s="13" t="s">
        <v>126</v>
      </c>
      <c r="B19" s="13"/>
      <c r="C19" s="13"/>
      <c r="D19" s="13"/>
      <c r="E19" s="13"/>
      <c r="F19" s="13"/>
      <c r="G19" s="13"/>
      <c r="H19" s="13"/>
    </row>
    <row r="20" s="2" customFormat="1" ht="25" hidden="1" customHeight="1" spans="1:8">
      <c r="A20" s="13" t="s">
        <v>127</v>
      </c>
      <c r="B20" s="13"/>
      <c r="C20" s="13"/>
      <c r="D20" s="13"/>
      <c r="E20" s="13"/>
      <c r="F20" s="13"/>
      <c r="G20" s="13"/>
      <c r="H20" s="13"/>
    </row>
  </sheetData>
  <sheetProtection formatCells="0" formatColumns="0" formatRows="0" insertRows="0" insertColumns="0" insertHyperlinks="0" deleteColumns="0" deleteRows="0" sort="0" autoFilter="0" pivotTables="0"/>
  <mergeCells count="38">
    <mergeCell ref="A1:H1"/>
    <mergeCell ref="A2:B2"/>
    <mergeCell ref="C2:D2"/>
    <mergeCell ref="A3:H3"/>
    <mergeCell ref="C4:D4"/>
    <mergeCell ref="E4:F4"/>
    <mergeCell ref="G4:H4"/>
    <mergeCell ref="C5:D5"/>
    <mergeCell ref="E5:F5"/>
    <mergeCell ref="G5:H5"/>
    <mergeCell ref="C6:D6"/>
    <mergeCell ref="E6:F6"/>
    <mergeCell ref="G6:H6"/>
    <mergeCell ref="C7:D7"/>
    <mergeCell ref="E7:F7"/>
    <mergeCell ref="G7:H7"/>
    <mergeCell ref="C8:D8"/>
    <mergeCell ref="E8:F8"/>
    <mergeCell ref="G8:H8"/>
    <mergeCell ref="C9:D9"/>
    <mergeCell ref="E9:F9"/>
    <mergeCell ref="G9:H9"/>
    <mergeCell ref="A10:H10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A17:H17"/>
    <mergeCell ref="A19:H19"/>
    <mergeCell ref="A20:H20"/>
  </mergeCells>
  <pageMargins left="0.75" right="0.75" top="1" bottom="1" header="0.5" footer="0.5"/>
  <pageSetup paperSize="9" scale="11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项目基本情况</vt:lpstr>
      <vt:lpstr>供应商签到、文件密封及样品确认情况</vt:lpstr>
      <vt:lpstr>评审人员、监督及代理机构签到表</vt:lpstr>
      <vt:lpstr>评定标报告</vt:lpstr>
      <vt:lpstr>附件一、采购项目资格审查表</vt:lpstr>
      <vt:lpstr>附件二、符合性审查表</vt:lpstr>
      <vt:lpstr>附件三、评审过程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耗奇害死猫</cp:lastModifiedBy>
  <dcterms:created xsi:type="dcterms:W3CDTF">2020-09-02T06:35:00Z</dcterms:created>
  <dcterms:modified xsi:type="dcterms:W3CDTF">2024-11-07T07:48:26Z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63E5DDCF66214DEA98A5456642390B7A_13</vt:lpwstr>
  </property>
  <property fmtid="{D5CDD505-2E9C-101B-9397-08002B2CF9AE}" pid="4" name="KSOReadingLayout">
    <vt:bool>false</vt:bool>
  </property>
</Properties>
</file>