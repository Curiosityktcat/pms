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tabRatio="998" activeTab="7"/>
  </bookViews>
  <sheets>
    <sheet name="项目基本情况" sheetId="6" r:id="rId1"/>
    <sheet name="供应商签到、文件密封及样品确认情况" sheetId="9" r:id="rId2"/>
    <sheet name="评定标报告（不够三家）" sheetId="14" r:id="rId3"/>
    <sheet name="评审人员、监督及代理机构签到表" sheetId="13" r:id="rId4"/>
    <sheet name="评定标报告 (够三家)" sheetId="19" r:id="rId5"/>
    <sheet name="附件一、采购项目资格审查表" sheetId="15" r:id="rId6"/>
    <sheet name="附件二、符合性审查表" sheetId="16" r:id="rId7"/>
    <sheet name="附件三、评审过程" sheetId="17" r:id="rId8"/>
    <sheet name="评分表" sheetId="18" r:id="rId9"/>
  </sheets>
  <definedNames>
    <definedName name="_xlnm.Print_Area" localSheetId="4">'评定标报告 (够三家)'!$A$1:$H$17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<sst xmlns="http://schemas.openxmlformats.org/spreadsheetml/2006/main" count="225" uniqueCount="155">
  <si>
    <t>内江市第一人民医院院内竞选项目基本情况</t>
  </si>
  <si>
    <t>采购项目名称：</t>
  </si>
  <si>
    <t>2025年xxxxx采购项目</t>
  </si>
  <si>
    <t>评审地点:</t>
  </si>
  <si>
    <t>xxxx代理机构</t>
  </si>
  <si>
    <t>采购人：</t>
  </si>
  <si>
    <t>内江市第一人民医院</t>
  </si>
  <si>
    <t>代理机构：</t>
  </si>
  <si>
    <t>采购项目编号：</t>
  </si>
  <si>
    <t>NJYYJX-XX-25XXXX</t>
  </si>
  <si>
    <t>包号</t>
  </si>
  <si>
    <t>/</t>
  </si>
  <si>
    <t>内江市XXXXXXXXXX</t>
  </si>
  <si>
    <t>评审时间：</t>
  </si>
  <si>
    <t>2025年X月XX日</t>
  </si>
  <si>
    <t>供应商1：</t>
  </si>
  <si>
    <t>公司1</t>
  </si>
  <si>
    <t>供应商2：</t>
  </si>
  <si>
    <t>公司2</t>
  </si>
  <si>
    <t>供应商3：</t>
  </si>
  <si>
    <t>公司3</t>
  </si>
  <si>
    <t>供应商4：</t>
  </si>
  <si>
    <t>公司4</t>
  </si>
  <si>
    <t>供应商5：</t>
  </si>
  <si>
    <t xml:space="preserve"> </t>
  </si>
  <si>
    <t>内江市第一人民医院院内竞选项目
供应商签到、文件密封及样品确认情况</t>
  </si>
  <si>
    <t>序号</t>
  </si>
  <si>
    <t>供应商名称</t>
  </si>
  <si>
    <t>供应商签到</t>
  </si>
  <si>
    <t>文件密封性及样品确认</t>
  </si>
  <si>
    <t>签到时间</t>
  </si>
  <si>
    <t>联系方式</t>
  </si>
  <si>
    <t>法定代表人或授权代表签到</t>
  </si>
  <si>
    <t>采购文件密封情况是否完好</t>
  </si>
  <si>
    <t>样品递交情况</t>
  </si>
  <si>
    <t>样品退回情况</t>
  </si>
  <si>
    <t>法定代表人或授权代表签字确认</t>
  </si>
  <si>
    <t>评定标报告</t>
  </si>
  <si>
    <t>一、项目信息</t>
  </si>
  <si>
    <t>项目名称</t>
  </si>
  <si>
    <t>预算金额</t>
  </si>
  <si>
    <t>XXXXXX</t>
  </si>
  <si>
    <t>项目编号</t>
  </si>
  <si>
    <t>采购时间</t>
  </si>
  <si>
    <t>采购地点</t>
  </si>
  <si>
    <t>评审办法</t>
  </si>
  <si>
    <t>院内议价</t>
  </si>
  <si>
    <t>二、评审过程</t>
  </si>
  <si>
    <t>供应商报价</t>
  </si>
  <si>
    <t>资格性审查</t>
  </si>
  <si>
    <t>符合性审查</t>
  </si>
  <si>
    <t>最终价格</t>
  </si>
  <si>
    <t>评审排名</t>
  </si>
  <si>
    <t>XXXX</t>
  </si>
  <si>
    <t>采购结果：                   中选</t>
  </si>
  <si>
    <t>备注：因本次采购项目有效供应商不足三家，故本次采购项目废标</t>
  </si>
  <si>
    <t>评委签字</t>
  </si>
  <si>
    <t>监督人员签字</t>
  </si>
  <si>
    <t>四、评审地点和评审委员会成员名单</t>
  </si>
  <si>
    <t>评审地点：</t>
  </si>
  <si>
    <t>评审委员会成员名单：</t>
  </si>
  <si>
    <t>五、开标情况</t>
  </si>
  <si>
    <t>（一）按照采购文件规定的时间，于  年  月  日在  进行 。
（二）递交响应文件截止时间：2024年08月16日10:00（北京时间），共收到   家供应商的响应文件。
（三）由 主持， 进行现场监督。
（四）开标过程中，由供应商代表对响应文件的密封情况进行了检查。
（五）开标过程顺利。</t>
  </si>
  <si>
    <t>内江市第一人民医院院内竞选项目
评审人员、监督及代理机构签到表</t>
  </si>
  <si>
    <t>类别</t>
  </si>
  <si>
    <t>单位名称</t>
  </si>
  <si>
    <t>姓名</t>
  </si>
  <si>
    <t>联系电话</t>
  </si>
  <si>
    <t>职务</t>
  </si>
  <si>
    <t>签到</t>
  </si>
  <si>
    <t>代理机构</t>
  </si>
  <si>
    <t>四川中锦招标代理有限公司</t>
  </si>
  <si>
    <t>XXXXX</t>
  </si>
  <si>
    <t>经办人</t>
  </si>
  <si>
    <t>专家类型</t>
  </si>
  <si>
    <t>专家证号</t>
  </si>
  <si>
    <t>评审人员</t>
  </si>
  <si>
    <t>监督</t>
  </si>
  <si>
    <t>纱布类耗材一批，共计9样耗材，单价限价0.07元-1.9元，项目限价195700元。据实结算。</t>
  </si>
  <si>
    <t>院内竞选
（性价比法）</t>
  </si>
  <si>
    <t>最终得分
及价格</t>
  </si>
  <si>
    <t>采购结果：                                      中选</t>
  </si>
  <si>
    <t>备注：</t>
  </si>
  <si>
    <t>附件一、资格审查表</t>
  </si>
  <si>
    <t>项目
名称</t>
  </si>
  <si>
    <t>项目
编号</t>
  </si>
  <si>
    <t>时间</t>
  </si>
  <si>
    <t>地点</t>
  </si>
  <si>
    <t>审查内容</t>
  </si>
  <si>
    <t>是否通过审查</t>
  </si>
  <si>
    <t>在中华人民共和国境内注册，具有独立法人资格</t>
  </si>
  <si>
    <t>具有良好的商业信誉</t>
  </si>
  <si>
    <t>具有具健全健的财务会
计制度</t>
  </si>
  <si>
    <t>具有履行合同所必需的设备和专业技术能力</t>
  </si>
  <si>
    <t>参加采购活动前三年内，在经营活动中没有重大违法记录</t>
  </si>
  <si>
    <t>参加本项目采购活动的供应商须为“四川省医疗保障信息大数据一体化平台药品和医用耗材招采管理子系统（招采子系统）”中的配送单位</t>
  </si>
  <si>
    <t>本项目不接受联合体</t>
  </si>
  <si>
    <t>产品所涉及逐级授权经销商企业法人营业执照</t>
  </si>
  <si>
    <t>产品所涉及逐级授权经销商的医疗器械生产（经营）许可证或生产（经营）企业备案表</t>
  </si>
  <si>
    <t>委托授权书（逐级）</t>
  </si>
  <si>
    <t>法定代表人授权委托书，法人和法人授权人身份证复印件</t>
  </si>
  <si>
    <t>符合国家最新《医疗器械分类目录》管理要求注册的医疗器械产品注册证或备案凭证</t>
  </si>
  <si>
    <t>响应文件中提供的文件、证照须真实、有效，如发现响应文件中存在造假行为，则视为无效响应。</t>
  </si>
  <si>
    <t>被授权人社保信息（须包含授权人单位信息）</t>
  </si>
  <si>
    <t>若所投产品为挂网产品，须符合《四川省医药机构药品集中采购实施方案》（川医保规〔2021〕9号）等文件要求</t>
  </si>
  <si>
    <t>是</t>
  </si>
  <si>
    <t>否</t>
  </si>
  <si>
    <t>四川祥和茂医疗器械有限公司</t>
  </si>
  <si>
    <t>四川梦峰源贸易有限公司</t>
  </si>
  <si>
    <t>成都阿福伦斯商贸有限公司</t>
  </si>
  <si>
    <t>代理机构签字：</t>
  </si>
  <si>
    <t>附件二、符合性审查表</t>
  </si>
  <si>
    <t>符合性审查内容</t>
  </si>
  <si>
    <t>需要投标人进行承诺的实质性要求。</t>
  </si>
  <si>
    <t>除仅需供应商进行承诺的实质性要求外，采购文件中技术服务要求、商务要求等实质性响应内容进行应答。</t>
  </si>
  <si>
    <t>样品是否满足需求</t>
  </si>
  <si>
    <t>所投产品符合竞选文件中医疗器械产品分类</t>
  </si>
  <si>
    <t>备注</t>
  </si>
  <si>
    <t>代理机构签字</t>
  </si>
  <si>
    <t>附件三、评审过程记录</t>
  </si>
  <si>
    <t>谈价过程</t>
  </si>
  <si>
    <t>首轮报价</t>
  </si>
  <si>
    <t>二轮报价</t>
  </si>
  <si>
    <t>三轮报价</t>
  </si>
  <si>
    <t>评审细则</t>
  </si>
  <si>
    <t>报价</t>
  </si>
  <si>
    <t>评审分（平均值）</t>
  </si>
  <si>
    <t>性价比得分</t>
  </si>
  <si>
    <t>推荐排名</t>
  </si>
  <si>
    <t>评审委员会成员有不同意见的说明，特说明如下：无。</t>
  </si>
  <si>
    <t>评委签字：</t>
  </si>
  <si>
    <t>监督人员签字：</t>
  </si>
  <si>
    <t>评分表</t>
  </si>
  <si>
    <t>评分因素及权重</t>
  </si>
  <si>
    <t>分值</t>
  </si>
  <si>
    <t>评分说明</t>
  </si>
  <si>
    <t>安全性30%</t>
  </si>
  <si>
    <t>30分</t>
  </si>
  <si>
    <t>产品检验报告、技术要求（0~5分）</t>
  </si>
  <si>
    <t>产品材质、性能与质量（0~10分）</t>
  </si>
  <si>
    <t>临床使用安全性（0~15分）</t>
  </si>
  <si>
    <t>有效性35%</t>
  </si>
  <si>
    <t>35分</t>
  </si>
  <si>
    <t>改进治疗模式，缩短手术时间（0~10分）</t>
  </si>
  <si>
    <t>降低耗材比、降低单病种费用（0~10分）</t>
  </si>
  <si>
    <t xml:space="preserve">使用科室根据现场样品评估实际使用的有效性（0~15分）                                                                                                                                                                                                                                                                                                                                                                                                                                                                                                                                                                                                                                                                                                                                                                                                                                                                                                                                                                                                                                                                                                                                                                                                                   </t>
  </si>
  <si>
    <t>适用性35%</t>
  </si>
  <si>
    <t>适用病种，使用指征、适应症，使用范围（0~10分）</t>
  </si>
  <si>
    <t>工作效率与质量（0~10分）</t>
  </si>
  <si>
    <t>使用科室根据现场样品评估实际使用的适用性（0~15分）</t>
  </si>
  <si>
    <t>合计</t>
  </si>
  <si>
    <t>评分人</t>
  </si>
  <si>
    <t>注：1、性价比法是指：每位评审专家评分除以报价为该评分专家的最终评分，最终以该项目所有评审专家最终评分的算数平均数为该竞选人的最终得分。</t>
  </si>
  <si>
    <r>
      <rPr>
        <sz val="10.5"/>
        <color rgb="FF000000"/>
        <rFont val="仿宋"/>
        <charset val="134"/>
      </rPr>
      <t>2、</t>
    </r>
    <r>
      <rPr>
        <b/>
        <u/>
        <sz val="10.5"/>
        <color rgb="FF000000"/>
        <rFont val="仿宋"/>
        <charset val="134"/>
      </rPr>
      <t>竞选人最终得分=该竞选人评审专家评分的算数平均值/该竞选人最终报价</t>
    </r>
    <r>
      <rPr>
        <sz val="10.5"/>
        <color rgb="FF000000"/>
        <rFont val="仿宋"/>
        <charset val="134"/>
      </rPr>
      <t>，结果保留至小数点后能够比较大小的位数，四舍五入。</t>
    </r>
  </si>
  <si>
    <t>3、任意两个竞选人总分差≥10分时，评审专家须在备注栏写明扣分理由。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</si>
</sst>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宋体"/>
      <charset val="134"/>
      <scheme val="minor"/>
    </font>
    <font>
      <b/>
      <sz val="10.5"/>
      <color rgb="FF191919"/>
      <name val="仿宋"/>
      <charset val="134"/>
    </font>
    <font>
      <b/>
      <sz val="10.5"/>
      <color theme="1"/>
      <name val="仿宋"/>
      <charset val="134"/>
    </font>
    <font>
      <sz val="10.5"/>
      <color theme="1"/>
      <name val="宋体"/>
      <charset val="134"/>
      <scheme val="minor"/>
    </font>
    <font>
      <sz val="10.5"/>
      <color rgb="FF191919"/>
      <name val="宋体"/>
      <charset val="134"/>
      <scheme val="minor"/>
    </font>
    <font>
      <sz val="10.5"/>
      <color rgb="FF000000"/>
      <name val="仿宋"/>
      <charset val="134"/>
    </font>
    <font>
      <sz val="11"/>
      <color theme="1"/>
      <name val="仿宋"/>
      <charset val="134"/>
    </font>
    <font>
      <b/>
      <sz val="14"/>
      <color theme="1"/>
      <name val="仿宋"/>
      <charset val="134"/>
    </font>
    <font>
      <b/>
      <sz val="18"/>
      <color theme="1"/>
      <name val="仿宋"/>
      <charset val="134"/>
    </font>
    <font>
      <b/>
      <sz val="20"/>
      <color theme="1"/>
      <name val="仿宋"/>
      <charset val="134"/>
    </font>
    <font>
      <b/>
      <sz val="12"/>
      <color theme="1"/>
      <name val="仿宋"/>
      <charset val="134"/>
    </font>
    <font>
      <b/>
      <sz val="11"/>
      <color theme="1"/>
      <name val="仿宋"/>
      <charset val="134"/>
    </font>
    <font>
      <b/>
      <sz val="16"/>
      <color theme="1"/>
      <name val="仿宋"/>
      <charset val="134"/>
    </font>
    <font>
      <b/>
      <sz val="12"/>
      <color rgb="FF000000"/>
      <name val="仿宋"/>
      <charset val="134"/>
    </font>
    <font>
      <sz val="12"/>
      <color theme="1"/>
      <name val="仿宋"/>
      <charset val="134"/>
    </font>
    <font>
      <sz val="14"/>
      <color theme="1"/>
      <name val="仿宋"/>
      <charset val="134"/>
    </font>
    <font>
      <sz val="18"/>
      <color theme="1"/>
      <name val="仿宋"/>
      <charset val="134"/>
    </font>
    <font>
      <sz val="22"/>
      <color theme="1"/>
      <name val="仿宋"/>
      <charset val="134"/>
    </font>
    <font>
      <b/>
      <sz val="14"/>
      <color theme="1"/>
      <name val="宋体"/>
      <charset val="134"/>
    </font>
    <font>
      <b/>
      <sz val="14"/>
      <color rgb="FF000000"/>
      <name val="宋体"/>
      <charset val="134"/>
    </font>
    <font>
      <sz val="14"/>
      <color theme="1"/>
      <name val="宋体"/>
      <charset val="134"/>
    </font>
    <font>
      <b/>
      <sz val="12"/>
      <color theme="1"/>
      <name val="宋体"/>
      <charset val="134"/>
    </font>
    <font>
      <sz val="11"/>
      <color theme="1"/>
      <name val="宋体"/>
      <charset val="134"/>
    </font>
    <font>
      <b/>
      <sz val="14"/>
      <color rgb="FF000000"/>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u/>
      <sz val="10.5"/>
      <color rgb="FF000000"/>
      <name val="仿宋"/>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2" borderId="12"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3" applyNumberFormat="0" applyFill="0" applyAlignment="0" applyProtection="0">
      <alignment vertical="center"/>
    </xf>
    <xf numFmtId="0" fontId="30" fillId="0" borderId="13" applyNumberFormat="0" applyFill="0" applyAlignment="0" applyProtection="0">
      <alignment vertical="center"/>
    </xf>
    <xf numFmtId="0" fontId="31" fillId="0" borderId="14" applyNumberFormat="0" applyFill="0" applyAlignment="0" applyProtection="0">
      <alignment vertical="center"/>
    </xf>
    <xf numFmtId="0" fontId="31" fillId="0" borderId="0" applyNumberFormat="0" applyFill="0" applyBorder="0" applyAlignment="0" applyProtection="0">
      <alignment vertical="center"/>
    </xf>
    <xf numFmtId="0" fontId="32" fillId="3" borderId="15" applyNumberFormat="0" applyAlignment="0" applyProtection="0">
      <alignment vertical="center"/>
    </xf>
    <xf numFmtId="0" fontId="33" fillId="4" borderId="16" applyNumberFormat="0" applyAlignment="0" applyProtection="0">
      <alignment vertical="center"/>
    </xf>
    <xf numFmtId="0" fontId="34" fillId="4" borderId="15" applyNumberFormat="0" applyAlignment="0" applyProtection="0">
      <alignment vertical="center"/>
    </xf>
    <xf numFmtId="0" fontId="35" fillId="5" borderId="17" applyNumberFormat="0" applyAlignment="0" applyProtection="0">
      <alignment vertical="center"/>
    </xf>
    <xf numFmtId="0" fontId="36" fillId="0" borderId="18" applyNumberFormat="0" applyFill="0" applyAlignment="0" applyProtection="0">
      <alignment vertical="center"/>
    </xf>
    <xf numFmtId="0" fontId="37" fillId="0" borderId="19" applyNumberFormat="0" applyFill="0" applyAlignment="0" applyProtection="0">
      <alignment vertical="center"/>
    </xf>
    <xf numFmtId="0" fontId="38" fillId="6" borderId="0" applyNumberFormat="0" applyBorder="0" applyAlignment="0" applyProtection="0">
      <alignment vertical="center"/>
    </xf>
    <xf numFmtId="0" fontId="39" fillId="7" borderId="0" applyNumberFormat="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2"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0" fillId="0" borderId="0"/>
  </cellStyleXfs>
  <cellXfs count="142">
    <xf numFmtId="0" fontId="0" fillId="0" borderId="0" xfId="0">
      <alignment vertical="center"/>
    </xf>
    <xf numFmtId="0" fontId="0" fillId="0" borderId="0" xfId="0"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justify" vertical="center"/>
    </xf>
    <xf numFmtId="0" fontId="0" fillId="0" borderId="1" xfId="0" applyBorder="1" applyAlignment="1">
      <alignment vertical="center" wrapText="1"/>
    </xf>
    <xf numFmtId="9" fontId="3" fillId="0" borderId="1" xfId="0" applyNumberFormat="1" applyFont="1" applyBorder="1" applyAlignment="1">
      <alignment horizontal="center" vertical="center"/>
    </xf>
    <xf numFmtId="0" fontId="3" fillId="0" borderId="1" xfId="0" applyFont="1" applyBorder="1" applyAlignment="1">
      <alignment horizontal="justify" vertical="center"/>
    </xf>
    <xf numFmtId="0" fontId="1" fillId="0" borderId="1" xfId="0" applyFont="1" applyBorder="1" applyAlignment="1">
      <alignment vertical="center"/>
    </xf>
    <xf numFmtId="0" fontId="5" fillId="0" borderId="1" xfId="0" applyFont="1" applyBorder="1" applyAlignment="1">
      <alignment horizontal="left" vertical="center"/>
    </xf>
    <xf numFmtId="0" fontId="6" fillId="0" borderId="0" xfId="0" applyFont="1">
      <alignment vertical="center"/>
    </xf>
    <xf numFmtId="0" fontId="7" fillId="0" borderId="0" xfId="0" applyFont="1">
      <alignment vertical="center"/>
    </xf>
    <xf numFmtId="0" fontId="8" fillId="0" borderId="2"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 xfId="0" applyFont="1" applyBorder="1" applyAlignment="1">
      <alignment horizontal="left" vertical="center"/>
    </xf>
    <xf numFmtId="0" fontId="7" fillId="0" borderId="1" xfId="0" applyFont="1" applyBorder="1" applyAlignment="1">
      <alignment horizontal="left" vertical="center"/>
    </xf>
    <xf numFmtId="0" fontId="9" fillId="0" borderId="0" xfId="0" applyFont="1">
      <alignment vertical="center"/>
    </xf>
    <xf numFmtId="0" fontId="10" fillId="0" borderId="0" xfId="0" applyFont="1">
      <alignment vertical="center"/>
    </xf>
    <xf numFmtId="0" fontId="11" fillId="0" borderId="0" xfId="0" applyFont="1">
      <alignment vertical="center"/>
    </xf>
    <xf numFmtId="0" fontId="6" fillId="0" borderId="0" xfId="0" applyFont="1" applyAlignment="1">
      <alignment horizontal="center" vertical="center"/>
    </xf>
    <xf numFmtId="0" fontId="12" fillId="0" borderId="0" xfId="0" applyFont="1" applyBorder="1" applyAlignment="1">
      <alignment horizontal="center" vertical="center"/>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 xfId="0" applyFont="1" applyBorder="1" applyAlignment="1">
      <alignment horizontal="center" vertical="center" wrapText="1"/>
    </xf>
    <xf numFmtId="31" fontId="10" fillId="0" borderId="3" xfId="0" applyNumberFormat="1" applyFont="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0" fillId="0" borderId="1" xfId="0" applyFont="1" applyBorder="1" applyAlignment="1">
      <alignment horizontal="center" vertical="center"/>
    </xf>
    <xf numFmtId="0" fontId="14"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4" xfId="0" applyFont="1" applyBorder="1" applyAlignment="1">
      <alignment horizontal="center" vertical="center"/>
    </xf>
    <xf numFmtId="0" fontId="11" fillId="0" borderId="1" xfId="0" applyFont="1" applyBorder="1" applyAlignment="1">
      <alignment horizontal="center" vertical="center"/>
    </xf>
    <xf numFmtId="0" fontId="15" fillId="0" borderId="0" xfId="0" applyFont="1">
      <alignment vertical="center"/>
    </xf>
    <xf numFmtId="0" fontId="8" fillId="0" borderId="1" xfId="0" applyFont="1" applyBorder="1" applyAlignment="1">
      <alignment horizontal="centerContinuous" vertical="center"/>
    </xf>
    <xf numFmtId="0" fontId="16" fillId="0" borderId="1" xfId="0" applyFont="1" applyBorder="1">
      <alignment vertical="center"/>
    </xf>
    <xf numFmtId="0" fontId="8" fillId="0" borderId="3" xfId="0" applyFont="1" applyBorder="1" applyAlignment="1">
      <alignment horizontal="left" vertical="center"/>
    </xf>
    <xf numFmtId="0" fontId="8" fillId="0" borderId="10" xfId="0" applyFont="1" applyBorder="1" applyAlignment="1">
      <alignment horizontal="left" vertical="center"/>
    </xf>
    <xf numFmtId="0" fontId="6" fillId="0" borderId="0" xfId="0" applyFont="1" applyBorder="1" applyAlignment="1">
      <alignment horizontal="center" vertical="center"/>
    </xf>
    <xf numFmtId="0" fontId="6" fillId="0" borderId="0" xfId="0" applyFont="1" applyBorder="1">
      <alignment vertical="center"/>
    </xf>
    <xf numFmtId="31" fontId="8" fillId="0" borderId="1" xfId="0" applyNumberFormat="1" applyFont="1" applyBorder="1" applyAlignment="1">
      <alignment horizontal="center" vertical="center" wrapText="1"/>
    </xf>
    <xf numFmtId="0" fontId="8" fillId="0" borderId="10" xfId="0" applyFont="1" applyBorder="1" applyAlignment="1">
      <alignment horizontal="center" vertical="center" wrapText="1"/>
    </xf>
    <xf numFmtId="0" fontId="8" fillId="0" borderId="4" xfId="0" applyFont="1" applyBorder="1" applyAlignment="1">
      <alignment horizontal="left" vertical="center"/>
    </xf>
    <xf numFmtId="0" fontId="17" fillId="0" borderId="0" xfId="0" applyFont="1" applyAlignment="1">
      <alignment horizontal="center" vertical="center"/>
    </xf>
    <xf numFmtId="0" fontId="8" fillId="0" borderId="0" xfId="0" applyFont="1" applyAlignment="1">
      <alignment horizontal="center" vertical="center"/>
    </xf>
    <xf numFmtId="0" fontId="15" fillId="0" borderId="0" xfId="0" applyFont="1" applyAlignment="1">
      <alignment horizontal="center" vertical="center"/>
    </xf>
    <xf numFmtId="0" fontId="18" fillId="0" borderId="0" xfId="0" applyFont="1" applyAlignment="1">
      <alignment horizontal="center"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10" xfId="0" applyFont="1" applyBorder="1" applyAlignment="1">
      <alignment horizontal="center" vertical="center" wrapText="1"/>
    </xf>
    <xf numFmtId="31" fontId="18" fillId="0" borderId="3"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18" fillId="0" borderId="2"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18" fillId="0" borderId="11" xfId="0" applyFont="1" applyFill="1" applyBorder="1" applyAlignment="1">
      <alignment horizontal="center" vertical="center" wrapText="1"/>
    </xf>
    <xf numFmtId="0" fontId="18" fillId="0" borderId="2" xfId="0" applyFont="1" applyFill="1" applyBorder="1" applyAlignment="1">
      <alignment horizontal="left" vertical="center" wrapText="1"/>
    </xf>
    <xf numFmtId="0" fontId="19" fillId="0" borderId="1" xfId="0" applyFont="1" applyFill="1" applyBorder="1" applyAlignment="1">
      <alignment horizontal="center" vertical="center" wrapText="1"/>
    </xf>
    <xf numFmtId="0" fontId="19" fillId="0" borderId="1" xfId="0" applyFont="1" applyFill="1" applyBorder="1" applyAlignment="1">
      <alignment horizontal="left" vertical="center" wrapText="1"/>
    </xf>
    <xf numFmtId="0" fontId="20" fillId="0" borderId="1" xfId="0" applyFont="1" applyBorder="1" applyAlignment="1">
      <alignment horizontal="center" vertical="center" wrapText="1"/>
    </xf>
    <xf numFmtId="0" fontId="21" fillId="0" borderId="1" xfId="0" applyFont="1" applyBorder="1" applyAlignment="1">
      <alignment horizontal="left" vertical="center"/>
    </xf>
    <xf numFmtId="0" fontId="20" fillId="0" borderId="1" xfId="0"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22" fillId="0" borderId="0" xfId="0" applyFont="1">
      <alignment vertical="center"/>
    </xf>
    <xf numFmtId="0" fontId="9" fillId="0" borderId="0"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10" fillId="0" borderId="3" xfId="0" applyFont="1" applyFill="1" applyBorder="1" applyAlignment="1">
      <alignment horizontal="left" vertical="center"/>
    </xf>
    <xf numFmtId="0" fontId="10" fillId="0" borderId="10" xfId="0" applyFont="1" applyFill="1" applyBorder="1" applyAlignment="1">
      <alignment horizontal="left" vertical="center"/>
    </xf>
    <xf numFmtId="0" fontId="10" fillId="0" borderId="10"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4" xfId="0" applyFont="1" applyFill="1" applyBorder="1" applyAlignment="1">
      <alignment horizontal="left" vertical="center"/>
    </xf>
    <xf numFmtId="0" fontId="10" fillId="0" borderId="3" xfId="0" applyFont="1" applyFill="1" applyBorder="1" applyAlignment="1">
      <alignment horizontal="left" vertical="center" wrapText="1"/>
    </xf>
    <xf numFmtId="0" fontId="7" fillId="0"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15" fillId="0" borderId="1" xfId="0" applyFont="1" applyFill="1" applyBorder="1">
      <alignment vertical="center"/>
    </xf>
    <xf numFmtId="0" fontId="22" fillId="0" borderId="1" xfId="0" applyFont="1" applyFill="1" applyBorder="1">
      <alignment vertical="center"/>
    </xf>
    <xf numFmtId="0" fontId="22" fillId="0" borderId="1" xfId="0" applyFont="1" applyBorder="1">
      <alignment vertical="center"/>
    </xf>
    <xf numFmtId="0" fontId="18" fillId="0" borderId="7" xfId="0" applyFont="1" applyFill="1" applyBorder="1" applyAlignment="1">
      <alignment horizontal="center" vertical="center" wrapText="1"/>
    </xf>
    <xf numFmtId="0" fontId="20" fillId="0" borderId="0" xfId="0" applyFont="1">
      <alignment vertical="center"/>
    </xf>
    <xf numFmtId="0" fontId="20" fillId="0" borderId="0" xfId="0" applyFont="1" applyAlignment="1">
      <alignment vertical="center"/>
    </xf>
    <xf numFmtId="0" fontId="8" fillId="0" borderId="0" xfId="0" applyFont="1" applyBorder="1" applyAlignment="1">
      <alignment horizontal="center" vertical="center" wrapText="1"/>
    </xf>
    <xf numFmtId="0" fontId="7" fillId="0" borderId="1" xfId="0" applyFont="1" applyBorder="1" applyAlignment="1">
      <alignment horizontal="left" vertical="center" wrapText="1"/>
    </xf>
    <xf numFmtId="0" fontId="10" fillId="0" borderId="3" xfId="0" applyFont="1" applyBorder="1" applyAlignment="1">
      <alignment horizontal="left" vertical="center"/>
    </xf>
    <xf numFmtId="0" fontId="10" fillId="0" borderId="10" xfId="0" applyFont="1" applyBorder="1" applyAlignment="1">
      <alignment horizontal="left" vertical="center"/>
    </xf>
    <xf numFmtId="0" fontId="10" fillId="0" borderId="4" xfId="0" applyFont="1" applyBorder="1" applyAlignment="1">
      <alignment horizontal="left" vertical="center" wrapText="1"/>
    </xf>
    <xf numFmtId="0" fontId="10" fillId="0" borderId="1" xfId="0" applyFont="1" applyBorder="1" applyAlignment="1">
      <alignment horizontal="left" vertical="center" wrapText="1"/>
    </xf>
    <xf numFmtId="0" fontId="10" fillId="0" borderId="4" xfId="0" applyFont="1" applyBorder="1" applyAlignment="1">
      <alignment horizontal="left" vertical="center"/>
    </xf>
    <xf numFmtId="0" fontId="10" fillId="0" borderId="1" xfId="0" applyFont="1" applyBorder="1" applyAlignment="1">
      <alignment horizontal="left" vertical="center"/>
    </xf>
    <xf numFmtId="0" fontId="10" fillId="0" borderId="3" xfId="0" applyFont="1" applyBorder="1" applyAlignment="1">
      <alignment horizontal="left" vertical="center" wrapText="1"/>
    </xf>
    <xf numFmtId="0" fontId="10" fillId="0" borderId="10" xfId="0" applyFont="1" applyBorder="1" applyAlignment="1">
      <alignment horizontal="left" vertical="center" wrapText="1"/>
    </xf>
    <xf numFmtId="0" fontId="10"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7" fillId="0" borderId="7" xfId="0" applyFont="1" applyBorder="1" applyAlignment="1">
      <alignment horizontal="center" vertical="center"/>
    </xf>
    <xf numFmtId="0" fontId="13" fillId="0" borderId="1" xfId="0" applyFont="1" applyBorder="1" applyAlignment="1">
      <alignment horizontal="center" vertical="center" wrapText="1"/>
    </xf>
    <xf numFmtId="0" fontId="10" fillId="0" borderId="1" xfId="0" applyFont="1" applyFill="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lignment vertical="center"/>
    </xf>
    <xf numFmtId="0" fontId="0" fillId="0" borderId="0" xfId="0" applyAlignment="1">
      <alignment horizontal="center" vertical="center"/>
    </xf>
    <xf numFmtId="49" fontId="10" fillId="0" borderId="1" xfId="0" applyNumberFormat="1" applyFont="1" applyBorder="1" applyAlignment="1">
      <alignment horizontal="center" vertical="center"/>
    </xf>
    <xf numFmtId="49" fontId="10" fillId="0" borderId="1" xfId="0" applyNumberFormat="1" applyFont="1" applyFill="1" applyBorder="1" applyAlignment="1">
      <alignment horizontal="center" vertical="center"/>
    </xf>
    <xf numFmtId="0" fontId="10" fillId="0" borderId="2" xfId="0" applyFont="1" applyBorder="1" applyAlignment="1">
      <alignment horizontal="center" vertical="center"/>
    </xf>
    <xf numFmtId="0" fontId="10" fillId="0" borderId="7" xfId="0"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xfId="49"/>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workbookViewId="0">
      <selection activeCell="B16" sqref="B16:B17"/>
    </sheetView>
  </sheetViews>
  <sheetFormatPr defaultColWidth="9" defaultRowHeight="13.5" outlineLevelCol="1"/>
  <cols>
    <col min="1" max="1" width="15.7583333333333" style="137" customWidth="1"/>
    <col min="2" max="2" width="68.875" customWidth="1"/>
  </cols>
  <sheetData>
    <row r="1" ht="32" customHeight="1" spans="1:2">
      <c r="A1" s="74" t="s">
        <v>0</v>
      </c>
      <c r="B1" s="74"/>
    </row>
    <row r="2" ht="32" customHeight="1" spans="1:2">
      <c r="A2" s="57" t="s">
        <v>1</v>
      </c>
      <c r="B2" s="34" t="s">
        <v>2</v>
      </c>
    </row>
    <row r="3" ht="32" customHeight="1" spans="1:2">
      <c r="A3" s="57" t="s">
        <v>3</v>
      </c>
      <c r="B3" s="57" t="s">
        <v>4</v>
      </c>
    </row>
    <row r="4" ht="32" customHeight="1" spans="1:2">
      <c r="A4" s="57" t="s">
        <v>5</v>
      </c>
      <c r="B4" s="57" t="s">
        <v>6</v>
      </c>
    </row>
    <row r="5" ht="32" customHeight="1" spans="1:2">
      <c r="A5" s="57" t="s">
        <v>7</v>
      </c>
      <c r="B5" s="57" t="s">
        <v>4</v>
      </c>
    </row>
    <row r="6" ht="32" customHeight="1" spans="1:2">
      <c r="A6" s="57" t="s">
        <v>8</v>
      </c>
      <c r="B6" s="138" t="s">
        <v>9</v>
      </c>
    </row>
    <row r="7" ht="32" customHeight="1" spans="1:2">
      <c r="A7" s="57" t="s">
        <v>10</v>
      </c>
      <c r="B7" s="138" t="s">
        <v>11</v>
      </c>
    </row>
    <row r="8" ht="32" customHeight="1" spans="1:2">
      <c r="A8" s="57" t="s">
        <v>3</v>
      </c>
      <c r="B8" s="57" t="s">
        <v>12</v>
      </c>
    </row>
    <row r="9" ht="32" customHeight="1" spans="1:2">
      <c r="A9" s="57" t="s">
        <v>13</v>
      </c>
      <c r="B9" s="139" t="s">
        <v>14</v>
      </c>
    </row>
    <row r="10" ht="16" customHeight="1" spans="1:2">
      <c r="A10" s="140" t="s">
        <v>15</v>
      </c>
      <c r="B10" s="140" t="s">
        <v>16</v>
      </c>
    </row>
    <row r="11" ht="16" customHeight="1" spans="1:2">
      <c r="A11" s="141"/>
      <c r="B11" s="141"/>
    </row>
    <row r="12" ht="16" customHeight="1" spans="1:2">
      <c r="A12" s="140" t="s">
        <v>17</v>
      </c>
      <c r="B12" s="140" t="s">
        <v>18</v>
      </c>
    </row>
    <row r="13" ht="16" customHeight="1" spans="1:2">
      <c r="A13" s="141"/>
      <c r="B13" s="141"/>
    </row>
    <row r="14" ht="16" customHeight="1" spans="1:2">
      <c r="A14" s="140" t="s">
        <v>19</v>
      </c>
      <c r="B14" s="140" t="s">
        <v>20</v>
      </c>
    </row>
    <row r="15" ht="16" customHeight="1" spans="1:2">
      <c r="A15" s="141"/>
      <c r="B15" s="141"/>
    </row>
    <row r="16" ht="16" customHeight="1" spans="1:2">
      <c r="A16" s="140" t="s">
        <v>21</v>
      </c>
      <c r="B16" s="140" t="s">
        <v>22</v>
      </c>
    </row>
    <row r="17" ht="16" customHeight="1" spans="1:2">
      <c r="A17" s="141" t="s">
        <v>23</v>
      </c>
      <c r="B17" s="141" t="s">
        <v>24</v>
      </c>
    </row>
  </sheetData>
  <mergeCells count="9">
    <mergeCell ref="A1:B1"/>
    <mergeCell ref="A10:A11"/>
    <mergeCell ref="A12:A13"/>
    <mergeCell ref="A14:A15"/>
    <mergeCell ref="A16:A17"/>
    <mergeCell ref="B10:B11"/>
    <mergeCell ref="B12:B13"/>
    <mergeCell ref="B14:B15"/>
    <mergeCell ref="B16:B17"/>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2"/>
  <sheetViews>
    <sheetView zoomScale="85" zoomScaleNormal="85" workbookViewId="0">
      <selection activeCell="B8" sqref="B8:B12"/>
    </sheetView>
  </sheetViews>
  <sheetFormatPr defaultColWidth="9" defaultRowHeight="13.5"/>
  <cols>
    <col min="1" max="1" width="4.925" style="96" customWidth="1"/>
    <col min="2" max="2" width="40.875" style="96" customWidth="1"/>
    <col min="3" max="4" width="15.625" style="96" customWidth="1"/>
    <col min="5" max="5" width="16.6166666666667" style="96" customWidth="1"/>
    <col min="6" max="8" width="15.625" style="96" customWidth="1"/>
    <col min="9" max="9" width="15.3083333333333" style="96" customWidth="1"/>
    <col min="10" max="16384" width="9" style="96"/>
  </cols>
  <sheetData>
    <row r="1" ht="60" customHeight="1" spans="1:9">
      <c r="A1" s="120" t="s">
        <v>25</v>
      </c>
      <c r="B1" s="120"/>
      <c r="C1" s="120"/>
      <c r="D1" s="120"/>
      <c r="E1" s="120"/>
      <c r="F1" s="120"/>
      <c r="G1" s="120"/>
      <c r="H1" s="120"/>
      <c r="I1" s="120"/>
    </row>
    <row r="2" customFormat="1" ht="32" customHeight="1" spans="1:9">
      <c r="A2" s="121" t="str">
        <f>"项目名称:"&amp;项目基本情况!B2</f>
        <v>项目名称:2025年xxxxx采购项目</v>
      </c>
      <c r="B2" s="121"/>
      <c r="C2" s="121"/>
      <c r="D2" s="121"/>
      <c r="E2" s="121"/>
      <c r="F2" s="121"/>
      <c r="G2" s="121"/>
      <c r="H2" s="121"/>
      <c r="I2" s="121"/>
    </row>
    <row r="3" s="118" customFormat="1" ht="32" customHeight="1" spans="1:9">
      <c r="A3" s="122" t="str">
        <f>"采购人:"&amp;项目基本情况!B4</f>
        <v>采购人:内江市第一人民医院</v>
      </c>
      <c r="B3" s="123"/>
      <c r="C3" s="123"/>
      <c r="D3" s="123"/>
      <c r="E3" s="124" t="str">
        <f>"代理机构:"&amp;项目基本情况!B5</f>
        <v>代理机构:xxxx代理机构</v>
      </c>
      <c r="F3" s="125"/>
      <c r="G3" s="125"/>
      <c r="H3" s="125"/>
      <c r="I3" s="125"/>
    </row>
    <row r="4" s="118" customFormat="1" ht="32" customHeight="1" spans="1:9">
      <c r="A4" s="122" t="str">
        <f>"项目编号:"&amp;项目基本情况!B6</f>
        <v>项目编号:NJYYJX-XX-25XXXX</v>
      </c>
      <c r="B4" s="123"/>
      <c r="C4" s="123"/>
      <c r="D4" s="123"/>
      <c r="E4" s="126" t="str">
        <f>"包号:"&amp;项目基本情况!B7</f>
        <v>包号:/</v>
      </c>
      <c r="F4" s="127"/>
      <c r="G4" s="127"/>
      <c r="H4" s="127"/>
      <c r="I4" s="127"/>
    </row>
    <row r="5" s="118" customFormat="1" ht="32" customHeight="1" spans="1:9">
      <c r="A5" s="128" t="str">
        <f>"评审时间："&amp;项目基本情况!B9</f>
        <v>评审时间：2025年X月XX日</v>
      </c>
      <c r="B5" s="129"/>
      <c r="C5" s="129"/>
      <c r="D5" s="129"/>
      <c r="E5" s="126" t="str">
        <f>"评审地点："&amp;项目基本情况!B8</f>
        <v>评审地点：内江市XXXXXXXXXX</v>
      </c>
      <c r="F5" s="127"/>
      <c r="G5" s="127"/>
      <c r="H5" s="127"/>
      <c r="I5" s="127"/>
    </row>
    <row r="6" s="118" customFormat="1" ht="32" customHeight="1" spans="1:9">
      <c r="A6" s="130" t="s">
        <v>26</v>
      </c>
      <c r="B6" s="131" t="s">
        <v>27</v>
      </c>
      <c r="C6" s="132" t="s">
        <v>28</v>
      </c>
      <c r="D6" s="132"/>
      <c r="E6" s="132"/>
      <c r="F6" s="132" t="s">
        <v>29</v>
      </c>
      <c r="G6" s="132"/>
      <c r="H6" s="132"/>
      <c r="I6" s="132"/>
    </row>
    <row r="7" s="119" customFormat="1" ht="64" customHeight="1" spans="1:9">
      <c r="A7" s="34"/>
      <c r="B7" s="133"/>
      <c r="C7" s="34" t="s">
        <v>30</v>
      </c>
      <c r="D7" s="34" t="s">
        <v>31</v>
      </c>
      <c r="E7" s="133" t="s">
        <v>32</v>
      </c>
      <c r="F7" s="34" t="s">
        <v>33</v>
      </c>
      <c r="G7" s="34" t="s">
        <v>34</v>
      </c>
      <c r="H7" s="133" t="s">
        <v>35</v>
      </c>
      <c r="I7" s="133" t="s">
        <v>36</v>
      </c>
    </row>
    <row r="8" s="118" customFormat="1" ht="32" customHeight="1" spans="1:9">
      <c r="A8" s="34">
        <v>1</v>
      </c>
      <c r="B8" s="134"/>
      <c r="C8" s="135"/>
      <c r="D8" s="135"/>
      <c r="E8" s="135"/>
      <c r="F8" s="135"/>
      <c r="G8" s="135"/>
      <c r="H8" s="135"/>
      <c r="I8" s="136"/>
    </row>
    <row r="9" s="118" customFormat="1" ht="32" customHeight="1" spans="1:9">
      <c r="A9" s="34">
        <v>2</v>
      </c>
      <c r="B9" s="134"/>
      <c r="C9" s="135"/>
      <c r="D9" s="135"/>
      <c r="E9" s="135"/>
      <c r="F9" s="135"/>
      <c r="G9" s="135"/>
      <c r="H9" s="135"/>
      <c r="I9" s="136"/>
    </row>
    <row r="10" s="118" customFormat="1" ht="32" customHeight="1" spans="1:9">
      <c r="A10" s="34">
        <v>3</v>
      </c>
      <c r="B10" s="134"/>
      <c r="C10" s="135"/>
      <c r="D10" s="135"/>
      <c r="E10" s="135"/>
      <c r="F10" s="135"/>
      <c r="G10" s="135"/>
      <c r="H10" s="135"/>
      <c r="I10" s="136"/>
    </row>
    <row r="11" s="118" customFormat="1" ht="32" customHeight="1" spans="1:9">
      <c r="A11" s="34">
        <v>4</v>
      </c>
      <c r="B11" s="134"/>
      <c r="C11" s="135"/>
      <c r="D11" s="135"/>
      <c r="E11" s="135"/>
      <c r="F11" s="135"/>
      <c r="G11" s="135"/>
      <c r="H11" s="135"/>
      <c r="I11" s="136"/>
    </row>
    <row r="12" ht="32" customHeight="1" spans="1:9">
      <c r="A12" s="34">
        <v>5</v>
      </c>
      <c r="B12" s="134" t="str">
        <f>项目基本情况!B17</f>
        <v> </v>
      </c>
      <c r="C12" s="135"/>
      <c r="D12" s="135"/>
      <c r="E12" s="135"/>
      <c r="F12" s="135"/>
      <c r="G12" s="135"/>
      <c r="H12" s="135"/>
      <c r="I12" s="136"/>
    </row>
  </sheetData>
  <mergeCells count="12">
    <mergeCell ref="A1:I1"/>
    <mergeCell ref="A2:I2"/>
    <mergeCell ref="A3:D3"/>
    <mergeCell ref="E3:I3"/>
    <mergeCell ref="A4:D4"/>
    <mergeCell ref="E4:I4"/>
    <mergeCell ref="A5:D5"/>
    <mergeCell ref="E5:I5"/>
    <mergeCell ref="C6:E6"/>
    <mergeCell ref="F6:I6"/>
    <mergeCell ref="A6:A7"/>
    <mergeCell ref="B6:B7"/>
  </mergeCells>
  <pageMargins left="0.432638888888889" right="0" top="0.747916666666667" bottom="0" header="0.5" footer="0.5"/>
  <pageSetup paperSize="9" scale="92"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8"/>
  <sheetViews>
    <sheetView zoomScale="70" zoomScaleNormal="70" workbookViewId="0">
      <selection activeCell="I21" sqref="I21"/>
    </sheetView>
  </sheetViews>
  <sheetFormatPr defaultColWidth="9" defaultRowHeight="18.75"/>
  <cols>
    <col min="1" max="1" width="6.5" style="75" customWidth="1"/>
    <col min="2" max="2" width="8.825" style="75" customWidth="1"/>
    <col min="3" max="3" width="8.68333333333333" style="75" customWidth="1"/>
    <col min="4" max="4" width="23.3833333333333" style="75" customWidth="1"/>
    <col min="5" max="5" width="11.7666666666667" style="75" customWidth="1"/>
    <col min="6" max="6" width="13.675" style="75" customWidth="1"/>
    <col min="7" max="7" width="22.5" style="75" customWidth="1"/>
    <col min="8" max="8" width="14.2583333333333" style="75" customWidth="1"/>
    <col min="9" max="10" width="9" style="75"/>
    <col min="11" max="11" width="10.375" style="75"/>
    <col min="12" max="16384" width="9" style="75"/>
  </cols>
  <sheetData>
    <row r="1" s="73" customFormat="1" ht="24" customHeight="1" spans="1:8">
      <c r="A1" s="76" t="s">
        <v>37</v>
      </c>
      <c r="B1" s="76"/>
      <c r="C1" s="76"/>
      <c r="D1" s="76"/>
      <c r="E1" s="76"/>
      <c r="F1" s="76"/>
      <c r="G1" s="76"/>
      <c r="H1" s="76"/>
    </row>
    <row r="2" s="74" customFormat="1" ht="28" customHeight="1" spans="1:8">
      <c r="A2" s="77" t="s">
        <v>38</v>
      </c>
      <c r="B2" s="77"/>
      <c r="C2" s="77"/>
      <c r="D2" s="77"/>
      <c r="E2" s="77"/>
      <c r="F2" s="78"/>
      <c r="G2" s="77"/>
      <c r="H2" s="77"/>
    </row>
    <row r="3" s="75" customFormat="1" ht="30" customHeight="1" spans="1:8">
      <c r="A3" s="79" t="s">
        <v>39</v>
      </c>
      <c r="B3" s="80"/>
      <c r="C3" s="79" t="str">
        <f>项目基本情况!B2</f>
        <v>2025年xxxxx采购项目</v>
      </c>
      <c r="D3" s="81"/>
      <c r="E3" s="81"/>
      <c r="F3" s="81"/>
      <c r="G3" s="81"/>
      <c r="H3" s="80"/>
    </row>
    <row r="4" s="75" customFormat="1" ht="142" customHeight="1" spans="1:8">
      <c r="A4" s="79" t="s">
        <v>40</v>
      </c>
      <c r="B4" s="80"/>
      <c r="C4" s="79" t="s">
        <v>41</v>
      </c>
      <c r="D4" s="80"/>
      <c r="E4" s="78" t="s">
        <v>42</v>
      </c>
      <c r="F4" s="78" t="str">
        <f>项目基本情况!B6</f>
        <v>NJYYJX-XX-25XXXX</v>
      </c>
      <c r="G4" s="78" t="s">
        <v>10</v>
      </c>
      <c r="H4" s="78" t="str">
        <f>项目基本情况!B7</f>
        <v>/</v>
      </c>
    </row>
    <row r="5" s="74" customFormat="1" ht="179" customHeight="1" spans="1:11">
      <c r="A5" s="79" t="s">
        <v>43</v>
      </c>
      <c r="B5" s="80"/>
      <c r="C5" s="82" t="str">
        <f>项目基本情况!B9</f>
        <v>2025年X月XX日</v>
      </c>
      <c r="D5" s="80"/>
      <c r="E5" s="78" t="s">
        <v>44</v>
      </c>
      <c r="F5" s="83" t="str">
        <f>项目基本情况!B8</f>
        <v>内江市XXXXXXXXXX</v>
      </c>
      <c r="G5" s="78" t="s">
        <v>45</v>
      </c>
      <c r="H5" s="83" t="s">
        <v>46</v>
      </c>
      <c r="K5" s="75"/>
    </row>
    <row r="6" s="74" customFormat="1" ht="30" customHeight="1" spans="1:11">
      <c r="A6" s="77" t="s">
        <v>47</v>
      </c>
      <c r="B6" s="77"/>
      <c r="C6" s="77"/>
      <c r="D6" s="77"/>
      <c r="E6" s="77"/>
      <c r="F6" s="78"/>
      <c r="G6" s="77"/>
      <c r="H6" s="77"/>
      <c r="K6" s="75"/>
    </row>
    <row r="7" ht="78" customHeight="1" spans="1:8">
      <c r="A7" s="78" t="s">
        <v>26</v>
      </c>
      <c r="B7" s="79" t="s">
        <v>27</v>
      </c>
      <c r="C7" s="80"/>
      <c r="D7" s="80" t="s">
        <v>48</v>
      </c>
      <c r="E7" s="78" t="s">
        <v>49</v>
      </c>
      <c r="F7" s="78" t="s">
        <v>50</v>
      </c>
      <c r="G7" s="76" t="s">
        <v>51</v>
      </c>
      <c r="H7" s="78" t="s">
        <v>52</v>
      </c>
    </row>
    <row r="8" ht="46" customHeight="1" spans="1:18">
      <c r="A8" s="84">
        <v>1</v>
      </c>
      <c r="B8" s="85" t="s">
        <v>53</v>
      </c>
      <c r="C8" s="85"/>
      <c r="D8" s="86"/>
      <c r="E8" s="84"/>
      <c r="F8" s="84"/>
      <c r="G8" s="84"/>
      <c r="H8" s="84"/>
      <c r="R8" s="75" t="s">
        <v>24</v>
      </c>
    </row>
    <row r="9" ht="52" customHeight="1" spans="1:8">
      <c r="A9" s="117"/>
      <c r="B9" s="85"/>
      <c r="C9" s="85"/>
      <c r="D9" s="86"/>
      <c r="E9" s="117"/>
      <c r="F9" s="117"/>
      <c r="G9" s="87"/>
      <c r="H9" s="87"/>
    </row>
    <row r="10" ht="42" customHeight="1" spans="1:8">
      <c r="A10" s="90" t="s">
        <v>54</v>
      </c>
      <c r="B10" s="86"/>
      <c r="C10" s="86"/>
      <c r="D10" s="86"/>
      <c r="E10" s="86"/>
      <c r="F10" s="85"/>
      <c r="G10" s="86"/>
      <c r="H10" s="86"/>
    </row>
    <row r="11" ht="42" customHeight="1" spans="1:8">
      <c r="A11" s="77" t="s">
        <v>55</v>
      </c>
      <c r="B11" s="77"/>
      <c r="C11" s="77"/>
      <c r="D11" s="77"/>
      <c r="E11" s="77"/>
      <c r="F11" s="78"/>
      <c r="G11" s="77"/>
      <c r="H11" s="77"/>
    </row>
    <row r="12" ht="42" customHeight="1" spans="1:8">
      <c r="A12" s="77" t="s">
        <v>56</v>
      </c>
      <c r="B12" s="77"/>
      <c r="C12" s="91"/>
      <c r="D12" s="91"/>
      <c r="E12" s="91"/>
      <c r="F12" s="91"/>
      <c r="G12" s="91"/>
      <c r="H12" s="91"/>
    </row>
    <row r="13" ht="42" customHeight="1" spans="1:8">
      <c r="A13" s="92" t="s">
        <v>57</v>
      </c>
      <c r="B13" s="92"/>
      <c r="C13" s="93"/>
      <c r="D13" s="93"/>
      <c r="E13" s="93"/>
      <c r="F13" s="93"/>
      <c r="G13" s="93"/>
      <c r="H13" s="93"/>
    </row>
    <row r="14" s="74" customFormat="1" ht="30" hidden="1" customHeight="1" spans="1:8">
      <c r="A14" s="16" t="s">
        <v>58</v>
      </c>
      <c r="B14" s="16"/>
      <c r="C14" s="16"/>
      <c r="D14" s="16"/>
      <c r="E14" s="16"/>
      <c r="F14" s="16"/>
      <c r="G14" s="16"/>
      <c r="H14" s="16"/>
    </row>
    <row r="15" s="75" customFormat="1" ht="30" hidden="1" customHeight="1" spans="1:8">
      <c r="A15" s="94" t="s">
        <v>59</v>
      </c>
      <c r="B15" s="94"/>
      <c r="C15" s="94"/>
      <c r="D15" s="94"/>
      <c r="E15" s="94"/>
      <c r="F15" s="94"/>
      <c r="G15" s="94"/>
      <c r="H15" s="94"/>
    </row>
    <row r="16" s="75" customFormat="1" ht="30" hidden="1" customHeight="1" spans="1:8">
      <c r="A16" s="94" t="s">
        <v>60</v>
      </c>
      <c r="B16" s="94"/>
      <c r="C16" s="94"/>
      <c r="D16" s="94"/>
      <c r="E16" s="94"/>
      <c r="F16" s="94"/>
      <c r="G16" s="94"/>
      <c r="H16" s="94"/>
    </row>
    <row r="17" s="74" customFormat="1" ht="30" hidden="1" customHeight="1" spans="1:8">
      <c r="A17" s="16" t="s">
        <v>61</v>
      </c>
      <c r="B17" s="16"/>
      <c r="C17" s="16"/>
      <c r="D17" s="16"/>
      <c r="E17" s="16"/>
      <c r="F17" s="16"/>
      <c r="G17" s="16"/>
      <c r="H17" s="16"/>
    </row>
    <row r="18" ht="135" hidden="1" customHeight="1" spans="1:8">
      <c r="A18" s="95" t="s">
        <v>62</v>
      </c>
      <c r="B18" s="95"/>
      <c r="C18" s="95"/>
      <c r="D18" s="95"/>
      <c r="E18" s="95"/>
      <c r="F18" s="95"/>
      <c r="G18" s="95"/>
      <c r="H18" s="95"/>
    </row>
  </sheetData>
  <sheetProtection formatCells="0" formatColumns="0" formatRows="0" insertRows="0" insertColumns="0" insertHyperlinks="0" deleteColumns="0" deleteRows="0" sort="0" autoFilter="0" pivotTables="0"/>
  <mergeCells count="28">
    <mergeCell ref="A1:H1"/>
    <mergeCell ref="A2:H2"/>
    <mergeCell ref="A3:B3"/>
    <mergeCell ref="C3:H3"/>
    <mergeCell ref="A4:B4"/>
    <mergeCell ref="C4:D4"/>
    <mergeCell ref="A5:B5"/>
    <mergeCell ref="C5:D5"/>
    <mergeCell ref="A6:H6"/>
    <mergeCell ref="B7:C7"/>
    <mergeCell ref="A10:H10"/>
    <mergeCell ref="A11:H11"/>
    <mergeCell ref="A12:B12"/>
    <mergeCell ref="C12:H12"/>
    <mergeCell ref="A13:B13"/>
    <mergeCell ref="C13:H13"/>
    <mergeCell ref="A14:H14"/>
    <mergeCell ref="A15:H15"/>
    <mergeCell ref="A16:H16"/>
    <mergeCell ref="A17:H17"/>
    <mergeCell ref="A18:H18"/>
    <mergeCell ref="A8:A9"/>
    <mergeCell ref="D8:D9"/>
    <mergeCell ref="E8:E9"/>
    <mergeCell ref="F8:F9"/>
    <mergeCell ref="G8:G9"/>
    <mergeCell ref="H8:H9"/>
    <mergeCell ref="B8:C9"/>
  </mergeCells>
  <pageMargins left="0.75" right="0.75" top="1" bottom="1" header="0.5" footer="0.5"/>
  <pageSetup paperSize="9" scale="80" fitToHeight="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4"/>
  <sheetViews>
    <sheetView zoomScale="85" zoomScaleNormal="85" workbookViewId="0">
      <selection activeCell="F35" sqref="F35"/>
    </sheetView>
  </sheetViews>
  <sheetFormatPr defaultColWidth="9" defaultRowHeight="13.5" outlineLevelCol="6"/>
  <cols>
    <col min="1" max="1" width="12.3833333333333" style="96" customWidth="1"/>
    <col min="2" max="2" width="42.6416666666667" style="96" customWidth="1"/>
    <col min="3" max="4" width="20.625" style="96" customWidth="1"/>
    <col min="5" max="5" width="18.0833333333333" style="96" customWidth="1"/>
    <col min="6" max="7" width="20.625" style="96" customWidth="1"/>
    <col min="8" max="16384" width="9" style="96"/>
  </cols>
  <sheetData>
    <row r="1" ht="59" customHeight="1" spans="1:7">
      <c r="A1" s="97" t="s">
        <v>63</v>
      </c>
      <c r="B1" s="97"/>
      <c r="C1" s="97"/>
      <c r="D1" s="97"/>
      <c r="E1" s="97"/>
      <c r="F1" s="97"/>
      <c r="G1" s="97"/>
    </row>
    <row r="2" ht="32" customHeight="1" spans="1:7">
      <c r="A2" s="98" t="str">
        <f>"项目名称:"&amp;项目基本情况!B2</f>
        <v>项目名称:2025年xxxxx采购项目</v>
      </c>
      <c r="B2" s="98"/>
      <c r="C2" s="98"/>
      <c r="D2" s="98"/>
      <c r="E2" s="98"/>
      <c r="F2" s="98"/>
      <c r="G2" s="98"/>
    </row>
    <row r="3" ht="32" customHeight="1" spans="1:7">
      <c r="A3" s="99" t="str">
        <f>"采购人:"&amp;项目基本情况!B4</f>
        <v>采购人:内江市第一人民医院</v>
      </c>
      <c r="B3" s="100"/>
      <c r="C3" s="100"/>
      <c r="D3" s="101" t="str">
        <f>"代理机构:"&amp;项目基本情况!B5</f>
        <v>代理机构:xxxx代理机构</v>
      </c>
      <c r="E3" s="101"/>
      <c r="F3" s="101"/>
      <c r="G3" s="102"/>
    </row>
    <row r="4" ht="32" customHeight="1" spans="1:7">
      <c r="A4" s="99" t="str">
        <f>"项目编号:"&amp;项目基本情况!B6</f>
        <v>项目编号:NJYYJX-XX-25XXXX</v>
      </c>
      <c r="B4" s="100"/>
      <c r="C4" s="100"/>
      <c r="D4" s="100" t="str">
        <f>"包号:"&amp;项目基本情况!B7</f>
        <v>包号:/</v>
      </c>
      <c r="E4" s="100"/>
      <c r="F4" s="100"/>
      <c r="G4" s="103"/>
    </row>
    <row r="5" ht="32" customHeight="1" spans="1:7">
      <c r="A5" s="104" t="str">
        <f>"评审时间："&amp;项目基本情况!B9</f>
        <v>评审时间：2025年X月XX日</v>
      </c>
      <c r="B5" s="101"/>
      <c r="C5" s="101"/>
      <c r="D5" s="100" t="str">
        <f>"评审地点："&amp;项目基本情况!B8</f>
        <v>评审地点：内江市XXXXXXXXXX</v>
      </c>
      <c r="E5" s="100"/>
      <c r="F5" s="100"/>
      <c r="G5" s="103"/>
    </row>
    <row r="6" ht="32" customHeight="1" spans="1:7">
      <c r="A6" s="105" t="s">
        <v>64</v>
      </c>
      <c r="B6" s="105" t="s">
        <v>65</v>
      </c>
      <c r="C6" s="105" t="s">
        <v>66</v>
      </c>
      <c r="D6" s="105" t="s">
        <v>67</v>
      </c>
      <c r="E6" s="105" t="s">
        <v>68</v>
      </c>
      <c r="F6" s="106" t="s">
        <v>69</v>
      </c>
      <c r="G6" s="107"/>
    </row>
    <row r="7" ht="32" customHeight="1" spans="1:7">
      <c r="A7" s="108" t="s">
        <v>70</v>
      </c>
      <c r="B7" s="109" t="s">
        <v>71</v>
      </c>
      <c r="C7" s="105" t="s">
        <v>72</v>
      </c>
      <c r="D7" s="105" t="s">
        <v>72</v>
      </c>
      <c r="E7" s="108" t="s">
        <v>73</v>
      </c>
      <c r="F7" s="110"/>
      <c r="G7" s="111"/>
    </row>
    <row r="8" ht="32" customHeight="1" spans="1:7">
      <c r="A8" s="105" t="s">
        <v>64</v>
      </c>
      <c r="B8" s="105" t="s">
        <v>65</v>
      </c>
      <c r="C8" s="105" t="s">
        <v>66</v>
      </c>
      <c r="D8" s="105" t="s">
        <v>67</v>
      </c>
      <c r="E8" s="105" t="s">
        <v>74</v>
      </c>
      <c r="F8" s="105" t="s">
        <v>75</v>
      </c>
      <c r="G8" s="105" t="s">
        <v>69</v>
      </c>
    </row>
    <row r="9" ht="32" customHeight="1" spans="1:7">
      <c r="A9" s="112" t="s">
        <v>76</v>
      </c>
      <c r="B9" s="109" t="s">
        <v>6</v>
      </c>
      <c r="C9" s="105" t="s">
        <v>72</v>
      </c>
      <c r="D9" s="105"/>
      <c r="E9" s="108"/>
      <c r="F9" s="108"/>
      <c r="G9" s="108"/>
    </row>
    <row r="10" ht="32" customHeight="1" spans="1:7">
      <c r="A10" s="113"/>
      <c r="B10" s="109" t="s">
        <v>6</v>
      </c>
      <c r="C10" s="105" t="s">
        <v>72</v>
      </c>
      <c r="D10" s="105"/>
      <c r="E10" s="108"/>
      <c r="F10" s="108"/>
      <c r="G10" s="108"/>
    </row>
    <row r="11" ht="32" customHeight="1" spans="1:7">
      <c r="A11" s="105"/>
      <c r="B11" s="109" t="s">
        <v>6</v>
      </c>
      <c r="C11" s="105" t="s">
        <v>72</v>
      </c>
      <c r="D11" s="108"/>
      <c r="E11" s="108"/>
      <c r="F11" s="114"/>
      <c r="G11" s="114"/>
    </row>
    <row r="12" ht="32" customHeight="1" spans="1:7">
      <c r="A12" s="108" t="s">
        <v>77</v>
      </c>
      <c r="B12" s="109" t="s">
        <v>6</v>
      </c>
      <c r="C12" s="105" t="s">
        <v>72</v>
      </c>
      <c r="D12" s="108"/>
      <c r="E12" s="108"/>
      <c r="F12" s="115"/>
      <c r="G12" s="115"/>
    </row>
    <row r="13" ht="45" hidden="1" customHeight="1" spans="1:7">
      <c r="A13" s="116"/>
      <c r="B13" s="116"/>
      <c r="C13" s="116"/>
      <c r="D13" s="116"/>
      <c r="E13" s="116"/>
      <c r="F13" s="116"/>
      <c r="G13" s="116"/>
    </row>
    <row r="14" ht="45" hidden="1" customHeight="1" spans="1:7">
      <c r="A14" s="116"/>
      <c r="B14" s="116"/>
      <c r="C14" s="116"/>
      <c r="D14" s="116"/>
      <c r="E14" s="116"/>
      <c r="F14" s="116"/>
      <c r="G14" s="116"/>
    </row>
  </sheetData>
  <mergeCells count="11">
    <mergeCell ref="A1:G1"/>
    <mergeCell ref="A2:G2"/>
    <mergeCell ref="A3:C3"/>
    <mergeCell ref="D3:G3"/>
    <mergeCell ref="A4:C4"/>
    <mergeCell ref="D4:G4"/>
    <mergeCell ref="A5:C5"/>
    <mergeCell ref="D5:G5"/>
    <mergeCell ref="F6:G6"/>
    <mergeCell ref="F7:G7"/>
    <mergeCell ref="A9:A11"/>
  </mergeCells>
  <pageMargins left="0.66875" right="0" top="1.10208333333333" bottom="1" header="0.5" footer="0.5"/>
  <pageSetup paperSize="9" scale="92"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22"/>
  <sheetViews>
    <sheetView zoomScale="70" zoomScaleNormal="70" workbookViewId="0">
      <selection activeCell="A14" sqref="A14:H14"/>
    </sheetView>
  </sheetViews>
  <sheetFormatPr defaultColWidth="9" defaultRowHeight="18.75"/>
  <cols>
    <col min="1" max="1" width="6.5" style="75" customWidth="1"/>
    <col min="2" max="2" width="7.14166666666667" style="75" customWidth="1"/>
    <col min="3" max="3" width="20.7333333333333" style="75" customWidth="1"/>
    <col min="4" max="4" width="18.9666666666667" style="75" customWidth="1"/>
    <col min="5" max="5" width="13.0833333333333" style="75" customWidth="1"/>
    <col min="6" max="6" width="16.4666666666667" style="75" customWidth="1"/>
    <col min="7" max="7" width="20.3583333333333" style="75" customWidth="1"/>
    <col min="8" max="8" width="14.2583333333333" style="75" customWidth="1"/>
    <col min="9" max="10" width="9" style="75"/>
    <col min="11" max="11" width="10.375" style="75"/>
    <col min="12" max="16384" width="9" style="75"/>
  </cols>
  <sheetData>
    <row r="1" s="73" customFormat="1" ht="24" customHeight="1" spans="1:8">
      <c r="A1" s="76" t="s">
        <v>37</v>
      </c>
      <c r="B1" s="76"/>
      <c r="C1" s="76"/>
      <c r="D1" s="76"/>
      <c r="E1" s="76"/>
      <c r="F1" s="76"/>
      <c r="G1" s="76"/>
      <c r="H1" s="76"/>
    </row>
    <row r="2" s="74" customFormat="1" ht="28" customHeight="1" spans="1:8">
      <c r="A2" s="77" t="s">
        <v>38</v>
      </c>
      <c r="B2" s="77"/>
      <c r="C2" s="77"/>
      <c r="D2" s="77"/>
      <c r="E2" s="77"/>
      <c r="F2" s="78"/>
      <c r="G2" s="77"/>
      <c r="H2" s="77"/>
    </row>
    <row r="3" s="75" customFormat="1" ht="30" customHeight="1" spans="1:8">
      <c r="A3" s="79" t="s">
        <v>39</v>
      </c>
      <c r="B3" s="80"/>
      <c r="C3" s="79" t="str">
        <f>项目基本情况!B2</f>
        <v>2025年xxxxx采购项目</v>
      </c>
      <c r="D3" s="81"/>
      <c r="E3" s="81"/>
      <c r="F3" s="81"/>
      <c r="G3" s="81"/>
      <c r="H3" s="80"/>
    </row>
    <row r="4" s="75" customFormat="1" ht="86" customHeight="1" spans="1:8">
      <c r="A4" s="79" t="s">
        <v>40</v>
      </c>
      <c r="B4" s="80"/>
      <c r="C4" s="79" t="s">
        <v>78</v>
      </c>
      <c r="D4" s="80"/>
      <c r="E4" s="78" t="s">
        <v>42</v>
      </c>
      <c r="F4" s="78" t="str">
        <f>项目基本情况!B6</f>
        <v>NJYYJX-XX-25XXXX</v>
      </c>
      <c r="G4" s="78" t="s">
        <v>10</v>
      </c>
      <c r="H4" s="78" t="str">
        <f>项目基本情况!B7</f>
        <v>/</v>
      </c>
    </row>
    <row r="5" s="74" customFormat="1" ht="134" customHeight="1" spans="1:11">
      <c r="A5" s="79" t="s">
        <v>43</v>
      </c>
      <c r="B5" s="80"/>
      <c r="C5" s="82" t="str">
        <f>项目基本情况!B9</f>
        <v>2025年X月XX日</v>
      </c>
      <c r="D5" s="80"/>
      <c r="E5" s="78" t="s">
        <v>44</v>
      </c>
      <c r="F5" s="83" t="str">
        <f>项目基本情况!B8</f>
        <v>内江市XXXXXXXXXX</v>
      </c>
      <c r="G5" s="78" t="s">
        <v>45</v>
      </c>
      <c r="H5" s="83" t="s">
        <v>79</v>
      </c>
      <c r="K5" s="75"/>
    </row>
    <row r="6" s="74" customFormat="1" ht="30" customHeight="1" spans="1:11">
      <c r="A6" s="77" t="s">
        <v>47</v>
      </c>
      <c r="B6" s="77"/>
      <c r="C6" s="77"/>
      <c r="D6" s="77"/>
      <c r="E6" s="77"/>
      <c r="F6" s="78"/>
      <c r="G6" s="77"/>
      <c r="H6" s="77"/>
      <c r="K6" s="75"/>
    </row>
    <row r="7" ht="78" customHeight="1" spans="1:8">
      <c r="A7" s="78" t="s">
        <v>26</v>
      </c>
      <c r="B7" s="79" t="s">
        <v>27</v>
      </c>
      <c r="C7" s="80"/>
      <c r="D7" s="80" t="s">
        <v>48</v>
      </c>
      <c r="E7" s="78" t="s">
        <v>49</v>
      </c>
      <c r="F7" s="78" t="s">
        <v>50</v>
      </c>
      <c r="G7" s="76" t="s">
        <v>80</v>
      </c>
      <c r="H7" s="78" t="s">
        <v>52</v>
      </c>
    </row>
    <row r="8" ht="39" customHeight="1" spans="1:18">
      <c r="A8" s="84">
        <v>1</v>
      </c>
      <c r="B8" s="85" t="str">
        <f>项目基本情况!B10</f>
        <v>公司1</v>
      </c>
      <c r="C8" s="85"/>
      <c r="D8" s="86"/>
      <c r="E8" s="84"/>
      <c r="F8" s="84"/>
      <c r="G8" s="84"/>
      <c r="H8" s="84"/>
      <c r="R8" s="75" t="s">
        <v>24</v>
      </c>
    </row>
    <row r="9" ht="39" customHeight="1" spans="1:8">
      <c r="A9" s="87"/>
      <c r="B9" s="84"/>
      <c r="C9" s="84"/>
      <c r="D9" s="88"/>
      <c r="E9" s="87"/>
      <c r="F9" s="87"/>
      <c r="G9" s="88"/>
      <c r="H9" s="87"/>
    </row>
    <row r="10" ht="39" customHeight="1" spans="1:8">
      <c r="A10" s="85">
        <v>2</v>
      </c>
      <c r="B10" s="85" t="str">
        <f>项目基本情况!B12</f>
        <v>公司2</v>
      </c>
      <c r="C10" s="85"/>
      <c r="D10" s="85"/>
      <c r="E10" s="85"/>
      <c r="F10" s="85"/>
      <c r="G10" s="86"/>
      <c r="H10" s="85"/>
    </row>
    <row r="11" ht="39" customHeight="1" spans="1:8">
      <c r="A11" s="85"/>
      <c r="B11" s="84"/>
      <c r="C11" s="84"/>
      <c r="D11" s="85"/>
      <c r="E11" s="85"/>
      <c r="F11" s="85"/>
      <c r="G11" s="86"/>
      <c r="H11" s="85"/>
    </row>
    <row r="12" ht="39" customHeight="1" spans="1:8">
      <c r="A12" s="89">
        <v>3</v>
      </c>
      <c r="B12" s="85" t="str">
        <f>项目基本情况!B14</f>
        <v>公司3</v>
      </c>
      <c r="C12" s="85"/>
      <c r="D12" s="86"/>
      <c r="E12" s="85"/>
      <c r="F12" s="85"/>
      <c r="G12" s="86"/>
      <c r="H12" s="85"/>
    </row>
    <row r="13" ht="39" customHeight="1" spans="1:8">
      <c r="A13" s="89"/>
      <c r="B13" s="84"/>
      <c r="C13" s="84"/>
      <c r="D13" s="86"/>
      <c r="E13" s="85"/>
      <c r="F13" s="85"/>
      <c r="G13" s="86"/>
      <c r="H13" s="85"/>
    </row>
    <row r="14" ht="39" customHeight="1" spans="1:8">
      <c r="A14" s="90" t="s">
        <v>81</v>
      </c>
      <c r="B14" s="86"/>
      <c r="C14" s="86"/>
      <c r="D14" s="86"/>
      <c r="E14" s="86"/>
      <c r="F14" s="85"/>
      <c r="G14" s="86"/>
      <c r="H14" s="86"/>
    </row>
    <row r="15" ht="39" customHeight="1" spans="1:8">
      <c r="A15" s="77" t="s">
        <v>82</v>
      </c>
      <c r="B15" s="77"/>
      <c r="C15" s="77"/>
      <c r="D15" s="77"/>
      <c r="E15" s="77"/>
      <c r="F15" s="78"/>
      <c r="G15" s="77"/>
      <c r="H15" s="77"/>
    </row>
    <row r="16" ht="39" customHeight="1" spans="1:8">
      <c r="A16" s="77" t="s">
        <v>56</v>
      </c>
      <c r="B16" s="77"/>
      <c r="C16" s="91"/>
      <c r="D16" s="91"/>
      <c r="E16" s="91"/>
      <c r="F16" s="91"/>
      <c r="G16" s="91"/>
      <c r="H16" s="91"/>
    </row>
    <row r="17" ht="39" customHeight="1" spans="1:8">
      <c r="A17" s="92" t="s">
        <v>57</v>
      </c>
      <c r="B17" s="92"/>
      <c r="C17" s="93"/>
      <c r="D17" s="93"/>
      <c r="E17" s="93"/>
      <c r="F17" s="93"/>
      <c r="G17" s="93"/>
      <c r="H17" s="93"/>
    </row>
    <row r="18" s="74" customFormat="1" ht="30" hidden="1" customHeight="1" spans="1:8">
      <c r="A18" s="16" t="s">
        <v>58</v>
      </c>
      <c r="B18" s="16"/>
      <c r="C18" s="16"/>
      <c r="D18" s="16"/>
      <c r="E18" s="16"/>
      <c r="F18" s="16"/>
      <c r="G18" s="16"/>
      <c r="H18" s="16"/>
    </row>
    <row r="19" s="75" customFormat="1" ht="30" hidden="1" customHeight="1" spans="1:8">
      <c r="A19" s="94" t="s">
        <v>59</v>
      </c>
      <c r="B19" s="94"/>
      <c r="C19" s="94"/>
      <c r="D19" s="94"/>
      <c r="E19" s="94"/>
      <c r="F19" s="94"/>
      <c r="G19" s="94"/>
      <c r="H19" s="94"/>
    </row>
    <row r="20" s="75" customFormat="1" ht="30" hidden="1" customHeight="1" spans="1:8">
      <c r="A20" s="94" t="s">
        <v>60</v>
      </c>
      <c r="B20" s="94"/>
      <c r="C20" s="94"/>
      <c r="D20" s="94"/>
      <c r="E20" s="94"/>
      <c r="F20" s="94"/>
      <c r="G20" s="94"/>
      <c r="H20" s="94"/>
    </row>
    <row r="21" s="74" customFormat="1" ht="30" hidden="1" customHeight="1" spans="1:8">
      <c r="A21" s="16" t="s">
        <v>61</v>
      </c>
      <c r="B21" s="16"/>
      <c r="C21" s="16"/>
      <c r="D21" s="16"/>
      <c r="E21" s="16"/>
      <c r="F21" s="16"/>
      <c r="G21" s="16"/>
      <c r="H21" s="16"/>
    </row>
    <row r="22" ht="135" hidden="1" customHeight="1" spans="1:8">
      <c r="A22" s="95" t="s">
        <v>62</v>
      </c>
      <c r="B22" s="95"/>
      <c r="C22" s="95"/>
      <c r="D22" s="95"/>
      <c r="E22" s="95"/>
      <c r="F22" s="95"/>
      <c r="G22" s="95"/>
      <c r="H22" s="95"/>
    </row>
  </sheetData>
  <sheetProtection formatCells="0" formatColumns="0" formatRows="0" insertRows="0" insertColumns="0" insertHyperlinks="0" deleteColumns="0" deleteRows="0" sort="0" autoFilter="0" pivotTables="0"/>
  <mergeCells count="39">
    <mergeCell ref="A1:H1"/>
    <mergeCell ref="A2:H2"/>
    <mergeCell ref="A3:B3"/>
    <mergeCell ref="C3:H3"/>
    <mergeCell ref="A4:B4"/>
    <mergeCell ref="C4:D4"/>
    <mergeCell ref="A5:B5"/>
    <mergeCell ref="C5:D5"/>
    <mergeCell ref="A6:H6"/>
    <mergeCell ref="B7:C7"/>
    <mergeCell ref="A14:H14"/>
    <mergeCell ref="A15:H15"/>
    <mergeCell ref="A16:B16"/>
    <mergeCell ref="C16:H16"/>
    <mergeCell ref="A17:B17"/>
    <mergeCell ref="C17:H17"/>
    <mergeCell ref="A18:H18"/>
    <mergeCell ref="A19:H19"/>
    <mergeCell ref="A20:H20"/>
    <mergeCell ref="A21:H21"/>
    <mergeCell ref="A22:H22"/>
    <mergeCell ref="A8:A9"/>
    <mergeCell ref="A10:A11"/>
    <mergeCell ref="A12:A13"/>
    <mergeCell ref="D8:D9"/>
    <mergeCell ref="D10:D11"/>
    <mergeCell ref="D12:D13"/>
    <mergeCell ref="E8:E9"/>
    <mergeCell ref="E10:E11"/>
    <mergeCell ref="E12:E13"/>
    <mergeCell ref="F8:F9"/>
    <mergeCell ref="F10:F11"/>
    <mergeCell ref="F12:F13"/>
    <mergeCell ref="H8:H9"/>
    <mergeCell ref="H10:H11"/>
    <mergeCell ref="H12:H13"/>
    <mergeCell ref="B8:C9"/>
    <mergeCell ref="B10:C11"/>
    <mergeCell ref="B12:C13"/>
  </mergeCells>
  <pageMargins left="0.75" right="0.75" top="1" bottom="1" header="0.5" footer="0.5"/>
  <pageSetup paperSize="9" scale="74"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10"/>
  <sheetViews>
    <sheetView zoomScale="70" zoomScaleNormal="70" workbookViewId="0">
      <selection activeCell="O4" sqref="O4"/>
    </sheetView>
  </sheetViews>
  <sheetFormatPr defaultColWidth="9" defaultRowHeight="13.5"/>
  <cols>
    <col min="1" max="1" width="8.03333333333333" style="32" customWidth="1"/>
    <col min="2" max="2" width="40.225" style="12" customWidth="1"/>
    <col min="3" max="3" width="12.625" style="12" customWidth="1"/>
    <col min="4" max="5" width="11.7833333333333" style="12" customWidth="1"/>
    <col min="6" max="7" width="12.625" style="12" customWidth="1"/>
    <col min="8" max="8" width="19.1083333333333" style="12" customWidth="1"/>
    <col min="9" max="9" width="10" style="12" customWidth="1"/>
    <col min="10" max="10" width="12.625" style="12" customWidth="1"/>
    <col min="11" max="11" width="16.5916666666667" style="12" customWidth="1"/>
    <col min="12" max="13" width="12.625" style="12" customWidth="1"/>
    <col min="14" max="14" width="16.1333333333333" style="12" customWidth="1"/>
    <col min="15" max="17" width="15.8916666666667" style="12" customWidth="1"/>
    <col min="18" max="19" width="12.85" style="12" customWidth="1"/>
    <col min="20" max="16384" width="9" style="12"/>
  </cols>
  <sheetData>
    <row r="1" s="29" customFormat="1" ht="78" customHeight="1" spans="1:19">
      <c r="A1" s="16" t="s">
        <v>83</v>
      </c>
      <c r="B1" s="14"/>
      <c r="C1" s="14"/>
      <c r="D1" s="14"/>
      <c r="E1" s="16"/>
      <c r="F1" s="16"/>
      <c r="G1" s="16"/>
      <c r="H1" s="16"/>
      <c r="I1" s="16"/>
      <c r="J1" s="16"/>
      <c r="K1" s="16"/>
      <c r="L1" s="16"/>
      <c r="M1" s="16"/>
      <c r="N1" s="16"/>
      <c r="O1" s="16"/>
      <c r="P1" s="16"/>
      <c r="Q1" s="16"/>
      <c r="R1" s="16"/>
      <c r="S1" s="16"/>
    </row>
    <row r="2" s="13" customFormat="1" ht="64" customHeight="1" spans="1:19">
      <c r="A2" s="15" t="s">
        <v>84</v>
      </c>
      <c r="B2" s="15" t="str">
        <f>项目基本情况!B2</f>
        <v>2025年xxxxx采购项目</v>
      </c>
      <c r="C2" s="15"/>
      <c r="D2" s="15"/>
      <c r="E2" s="15" t="s">
        <v>85</v>
      </c>
      <c r="F2" s="15" t="str">
        <f>项目基本情况!B6</f>
        <v>NJYYJX-XX-25XXXX</v>
      </c>
      <c r="G2" s="15"/>
      <c r="H2" s="15" t="s">
        <v>10</v>
      </c>
      <c r="I2" s="25" t="str">
        <f>项目基本情况!B7</f>
        <v>/</v>
      </c>
      <c r="J2" s="26"/>
      <c r="K2" s="15" t="s">
        <v>86</v>
      </c>
      <c r="L2" s="70" t="str">
        <f>项目基本情况!B9</f>
        <v>2025年X月XX日</v>
      </c>
      <c r="M2" s="70"/>
      <c r="N2" s="70" t="s">
        <v>87</v>
      </c>
      <c r="O2" s="25" t="str">
        <f>项目基本情况!B8</f>
        <v>内江市XXXXXXXXXX</v>
      </c>
      <c r="P2" s="71"/>
      <c r="Q2" s="71"/>
      <c r="R2" s="71"/>
      <c r="S2" s="26"/>
    </row>
    <row r="3" s="13" customFormat="1" ht="32" customHeight="1" spans="1:19">
      <c r="A3" s="15" t="s">
        <v>26</v>
      </c>
      <c r="B3" s="16" t="s">
        <v>27</v>
      </c>
      <c r="C3" s="64" t="s">
        <v>88</v>
      </c>
      <c r="D3" s="64"/>
      <c r="E3" s="64"/>
      <c r="F3" s="64"/>
      <c r="G3" s="64"/>
      <c r="H3" s="64"/>
      <c r="I3" s="64"/>
      <c r="J3" s="64"/>
      <c r="K3" s="64"/>
      <c r="L3" s="64"/>
      <c r="M3" s="64"/>
      <c r="N3" s="64"/>
      <c r="O3" s="64"/>
      <c r="P3" s="64"/>
      <c r="Q3" s="64"/>
      <c r="R3" s="64" t="s">
        <v>89</v>
      </c>
      <c r="S3" s="64"/>
    </row>
    <row r="4" s="13" customFormat="1" ht="302" customHeight="1" spans="1:19">
      <c r="A4" s="15"/>
      <c r="B4" s="16"/>
      <c r="C4" s="15" t="s">
        <v>90</v>
      </c>
      <c r="D4" s="15" t="s">
        <v>91</v>
      </c>
      <c r="E4" s="15" t="s">
        <v>92</v>
      </c>
      <c r="F4" s="15" t="s">
        <v>93</v>
      </c>
      <c r="G4" s="15" t="s">
        <v>94</v>
      </c>
      <c r="H4" s="15" t="s">
        <v>95</v>
      </c>
      <c r="I4" s="15" t="s">
        <v>96</v>
      </c>
      <c r="J4" s="15" t="s">
        <v>97</v>
      </c>
      <c r="K4" s="15" t="s">
        <v>98</v>
      </c>
      <c r="L4" s="15" t="s">
        <v>99</v>
      </c>
      <c r="M4" s="15" t="s">
        <v>100</v>
      </c>
      <c r="N4" s="15" t="s">
        <v>101</v>
      </c>
      <c r="O4" s="15" t="s">
        <v>102</v>
      </c>
      <c r="P4" s="15" t="s">
        <v>103</v>
      </c>
      <c r="Q4" s="15" t="s">
        <v>104</v>
      </c>
      <c r="R4" s="16" t="s">
        <v>105</v>
      </c>
      <c r="S4" s="16" t="s">
        <v>106</v>
      </c>
    </row>
    <row r="5" s="63" customFormat="1" ht="67" customHeight="1" spans="1:19">
      <c r="A5" s="16">
        <v>1</v>
      </c>
      <c r="B5" s="15" t="s">
        <v>107</v>
      </c>
      <c r="C5" s="65"/>
      <c r="D5" s="65"/>
      <c r="E5" s="65"/>
      <c r="F5" s="65"/>
      <c r="G5" s="65"/>
      <c r="H5" s="65"/>
      <c r="I5" s="65"/>
      <c r="J5" s="65"/>
      <c r="K5" s="65"/>
      <c r="L5" s="65"/>
      <c r="M5" s="65"/>
      <c r="N5" s="65"/>
      <c r="O5" s="65"/>
      <c r="P5" s="65"/>
      <c r="Q5" s="65"/>
      <c r="R5" s="65"/>
      <c r="S5" s="65"/>
    </row>
    <row r="6" s="63" customFormat="1" ht="67" customHeight="1" spans="1:19">
      <c r="A6" s="16">
        <v>2</v>
      </c>
      <c r="B6" s="15" t="s">
        <v>108</v>
      </c>
      <c r="C6" s="65"/>
      <c r="D6" s="65"/>
      <c r="E6" s="65"/>
      <c r="F6" s="65"/>
      <c r="G6" s="65"/>
      <c r="H6" s="65"/>
      <c r="I6" s="65"/>
      <c r="J6" s="65"/>
      <c r="K6" s="65"/>
      <c r="L6" s="65"/>
      <c r="M6" s="65"/>
      <c r="N6" s="65"/>
      <c r="O6" s="65"/>
      <c r="P6" s="65"/>
      <c r="Q6" s="65"/>
      <c r="R6" s="65"/>
      <c r="S6" s="65"/>
    </row>
    <row r="7" s="63" customFormat="1" ht="67" customHeight="1" spans="1:19">
      <c r="A7" s="16">
        <v>3</v>
      </c>
      <c r="B7" s="15" t="s">
        <v>109</v>
      </c>
      <c r="C7" s="65"/>
      <c r="D7" s="65"/>
      <c r="E7" s="65"/>
      <c r="F7" s="65"/>
      <c r="G7" s="65"/>
      <c r="H7" s="65"/>
      <c r="I7" s="65"/>
      <c r="J7" s="65"/>
      <c r="K7" s="65"/>
      <c r="L7" s="65"/>
      <c r="M7" s="65"/>
      <c r="N7" s="65"/>
      <c r="O7" s="65"/>
      <c r="P7" s="65"/>
      <c r="Q7" s="65"/>
      <c r="R7" s="65"/>
      <c r="S7" s="65"/>
    </row>
    <row r="8" s="63" customFormat="1" ht="58" customHeight="1" spans="1:19">
      <c r="A8" s="66" t="s">
        <v>110</v>
      </c>
      <c r="B8" s="67"/>
      <c r="C8" s="67"/>
      <c r="D8" s="67"/>
      <c r="E8" s="67"/>
      <c r="F8" s="67"/>
      <c r="G8" s="67"/>
      <c r="H8" s="67"/>
      <c r="I8" s="67"/>
      <c r="J8" s="67"/>
      <c r="K8" s="67"/>
      <c r="L8" s="67"/>
      <c r="M8" s="67"/>
      <c r="N8" s="67"/>
      <c r="O8" s="67"/>
      <c r="P8" s="67"/>
      <c r="Q8" s="67"/>
      <c r="R8" s="67"/>
      <c r="S8" s="72"/>
    </row>
    <row r="9" ht="25" customHeight="1" spans="1:19">
      <c r="A9" s="68"/>
      <c r="B9" s="69"/>
      <c r="C9" s="69"/>
      <c r="D9" s="69"/>
      <c r="E9" s="69"/>
      <c r="F9" s="69"/>
      <c r="G9" s="69"/>
      <c r="H9" s="69"/>
      <c r="I9" s="69"/>
      <c r="J9" s="69"/>
      <c r="K9" s="69"/>
      <c r="L9" s="69"/>
      <c r="M9" s="69"/>
      <c r="N9" s="69"/>
      <c r="O9" s="69"/>
      <c r="P9" s="69"/>
      <c r="Q9" s="69"/>
      <c r="R9" s="69"/>
      <c r="S9" s="69"/>
    </row>
    <row r="10" ht="25" customHeight="1" spans="1:19">
      <c r="A10" s="68"/>
      <c r="B10" s="69"/>
      <c r="C10" s="69"/>
      <c r="D10" s="69"/>
      <c r="E10" s="69"/>
      <c r="F10" s="69"/>
      <c r="G10" s="69"/>
      <c r="H10" s="69"/>
      <c r="I10" s="69"/>
      <c r="J10" s="69"/>
      <c r="K10" s="69"/>
      <c r="L10" s="69"/>
      <c r="M10" s="69"/>
      <c r="N10" s="69"/>
      <c r="O10" s="69"/>
      <c r="P10" s="69"/>
      <c r="Q10" s="69"/>
      <c r="R10" s="69"/>
      <c r="S10" s="69"/>
    </row>
  </sheetData>
  <sheetProtection formatCells="0" formatColumns="0" formatRows="0" insertRows="0" insertColumns="0" insertHyperlinks="0" deleteColumns="0" deleteRows="0" sort="0" autoFilter="0" pivotTables="0"/>
  <mergeCells count="9">
    <mergeCell ref="A1:S1"/>
    <mergeCell ref="B2:D2"/>
    <mergeCell ref="F2:G2"/>
    <mergeCell ref="I2:J2"/>
    <mergeCell ref="L2:M2"/>
    <mergeCell ref="O2:S2"/>
    <mergeCell ref="A8:S8"/>
    <mergeCell ref="A3:A4"/>
    <mergeCell ref="B3:B4"/>
  </mergeCells>
  <pageMargins left="0.75" right="0.75" top="1" bottom="1" header="0.5" footer="0.5"/>
  <pageSetup paperSize="9" scale="52"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3"/>
  <sheetViews>
    <sheetView workbookViewId="0">
      <selection activeCell="F5" sqref="F5:G5"/>
    </sheetView>
  </sheetViews>
  <sheetFormatPr defaultColWidth="9" defaultRowHeight="13.5"/>
  <cols>
    <col min="1" max="1" width="7.93333333333333" style="32" customWidth="1"/>
    <col min="2" max="2" width="10.3" style="32" customWidth="1"/>
    <col min="3" max="3" width="26.9083333333333" style="12" customWidth="1"/>
    <col min="4" max="5" width="10.625" style="12" customWidth="1"/>
    <col min="6" max="6" width="17" style="12" customWidth="1"/>
    <col min="7" max="7" width="14" style="12" customWidth="1"/>
    <col min="8" max="12" width="10.625" style="12" customWidth="1"/>
  </cols>
  <sheetData>
    <row r="1" s="29" customFormat="1" ht="31" customHeight="1" spans="1:12">
      <c r="A1" s="33" t="s">
        <v>111</v>
      </c>
      <c r="B1" s="33"/>
      <c r="C1" s="33"/>
      <c r="D1" s="33"/>
      <c r="E1" s="33"/>
      <c r="F1" s="33"/>
      <c r="G1" s="33"/>
      <c r="H1" s="33"/>
      <c r="I1" s="33"/>
      <c r="J1" s="33"/>
      <c r="K1" s="33"/>
      <c r="L1" s="33"/>
    </row>
    <row r="2" s="30" customFormat="1" ht="31" customHeight="1" spans="1:12">
      <c r="A2" s="34" t="s">
        <v>39</v>
      </c>
      <c r="B2" s="34"/>
      <c r="C2" s="35" t="str">
        <f>项目基本情况!B2</f>
        <v>2025年xxxxx采购项目</v>
      </c>
      <c r="D2" s="36"/>
      <c r="E2" s="36"/>
      <c r="F2" s="37"/>
      <c r="G2" s="34" t="s">
        <v>42</v>
      </c>
      <c r="H2" s="35" t="str">
        <f>项目基本情况!B6</f>
        <v>NJYYJX-XX-25XXXX</v>
      </c>
      <c r="I2" s="36"/>
      <c r="J2" s="36"/>
      <c r="K2" s="36"/>
      <c r="L2" s="37"/>
    </row>
    <row r="3" s="30" customFormat="1" ht="31" customHeight="1" spans="1:12">
      <c r="A3" s="35" t="s">
        <v>10</v>
      </c>
      <c r="B3" s="37"/>
      <c r="C3" s="34" t="str">
        <f>项目基本情况!B7</f>
        <v>/</v>
      </c>
      <c r="D3" s="34" t="s">
        <v>86</v>
      </c>
      <c r="E3" s="38" t="str">
        <f>项目基本情况!B9</f>
        <v>2025年X月XX日</v>
      </c>
      <c r="F3" s="37"/>
      <c r="G3" s="34" t="s">
        <v>87</v>
      </c>
      <c r="H3" s="35" t="str">
        <f>项目基本情况!B8</f>
        <v>内江市XXXXXXXXXX</v>
      </c>
      <c r="I3" s="36"/>
      <c r="J3" s="36"/>
      <c r="K3" s="36"/>
      <c r="L3" s="37"/>
    </row>
    <row r="4" s="31" customFormat="1" ht="24" customHeight="1" spans="1:12">
      <c r="A4" s="34" t="s">
        <v>26</v>
      </c>
      <c r="B4" s="39" t="s">
        <v>27</v>
      </c>
      <c r="C4" s="40"/>
      <c r="D4" s="41" t="s">
        <v>112</v>
      </c>
      <c r="E4" s="42"/>
      <c r="F4" s="42"/>
      <c r="G4" s="42"/>
      <c r="H4" s="42"/>
      <c r="I4" s="42"/>
      <c r="J4" s="59" t="s">
        <v>89</v>
      </c>
      <c r="K4" s="60"/>
      <c r="L4" s="61"/>
    </row>
    <row r="5" s="31" customFormat="1" ht="80" customHeight="1" spans="1:12">
      <c r="A5" s="34"/>
      <c r="B5" s="43"/>
      <c r="C5" s="44"/>
      <c r="D5" s="45" t="s">
        <v>113</v>
      </c>
      <c r="E5" s="46"/>
      <c r="F5" s="45" t="s">
        <v>114</v>
      </c>
      <c r="G5" s="46"/>
      <c r="H5" s="46" t="s">
        <v>115</v>
      </c>
      <c r="I5" s="46" t="s">
        <v>116</v>
      </c>
      <c r="J5" s="57" t="s">
        <v>105</v>
      </c>
      <c r="K5" s="57" t="s">
        <v>106</v>
      </c>
      <c r="L5" s="62" t="s">
        <v>117</v>
      </c>
    </row>
    <row r="6" s="31" customFormat="1" ht="46" customHeight="1" spans="1:12">
      <c r="A6" s="47">
        <v>1</v>
      </c>
      <c r="B6" s="48" t="str">
        <f>项目基本情况!B10</f>
        <v>公司1</v>
      </c>
      <c r="C6" s="49"/>
      <c r="D6" s="50"/>
      <c r="E6" s="51"/>
      <c r="F6" s="50"/>
      <c r="G6" s="51"/>
      <c r="H6" s="51"/>
      <c r="I6" s="51"/>
      <c r="J6" s="51"/>
      <c r="K6" s="51"/>
      <c r="L6" s="51"/>
    </row>
    <row r="7" s="31" customFormat="1" ht="46" customHeight="1" spans="1:12">
      <c r="A7" s="52"/>
      <c r="B7" s="53"/>
      <c r="C7" s="54"/>
      <c r="D7" s="55"/>
      <c r="E7" s="56"/>
      <c r="F7" s="55"/>
      <c r="G7" s="56"/>
      <c r="H7" s="56"/>
      <c r="I7" s="56"/>
      <c r="J7" s="56"/>
      <c r="K7" s="56"/>
      <c r="L7" s="56"/>
    </row>
    <row r="8" s="31" customFormat="1" ht="46" customHeight="1" spans="1:12">
      <c r="A8" s="47">
        <v>2</v>
      </c>
      <c r="B8" s="48" t="str">
        <f>项目基本情况!B12</f>
        <v>公司2</v>
      </c>
      <c r="C8" s="49"/>
      <c r="D8" s="50"/>
      <c r="E8" s="51"/>
      <c r="F8" s="50"/>
      <c r="G8" s="51"/>
      <c r="H8" s="51"/>
      <c r="I8" s="51"/>
      <c r="J8" s="51"/>
      <c r="K8" s="51"/>
      <c r="L8" s="51"/>
    </row>
    <row r="9" s="31" customFormat="1" ht="46" customHeight="1" spans="1:12">
      <c r="A9" s="52"/>
      <c r="B9" s="53"/>
      <c r="C9" s="54"/>
      <c r="D9" s="55"/>
      <c r="E9" s="56"/>
      <c r="F9" s="55"/>
      <c r="G9" s="56"/>
      <c r="H9" s="56"/>
      <c r="I9" s="56"/>
      <c r="J9" s="56"/>
      <c r="K9" s="56"/>
      <c r="L9" s="56"/>
    </row>
    <row r="10" s="31" customFormat="1" ht="46" customHeight="1" spans="1:12">
      <c r="A10" s="47">
        <v>3</v>
      </c>
      <c r="B10" s="48" t="str">
        <f>项目基本情况!B14</f>
        <v>公司3</v>
      </c>
      <c r="C10" s="49"/>
      <c r="D10" s="50"/>
      <c r="E10" s="51"/>
      <c r="F10" s="50"/>
      <c r="G10" s="51"/>
      <c r="H10" s="51"/>
      <c r="I10" s="51"/>
      <c r="J10" s="51"/>
      <c r="K10" s="51"/>
      <c r="L10" s="51"/>
    </row>
    <row r="11" s="12" customFormat="1" ht="46" customHeight="1" spans="1:12">
      <c r="A11" s="52"/>
      <c r="B11" s="53"/>
      <c r="C11" s="54"/>
      <c r="D11" s="55"/>
      <c r="E11" s="56"/>
      <c r="F11" s="55"/>
      <c r="G11" s="56"/>
      <c r="H11" s="56"/>
      <c r="I11" s="56"/>
      <c r="J11" s="56"/>
      <c r="K11" s="56"/>
      <c r="L11" s="56"/>
    </row>
    <row r="12" s="12" customFormat="1" ht="41" customHeight="1" spans="1:12">
      <c r="A12" s="57" t="s">
        <v>118</v>
      </c>
      <c r="B12" s="57"/>
      <c r="C12" s="57"/>
      <c r="D12" s="58"/>
      <c r="E12" s="58"/>
      <c r="F12" s="58"/>
      <c r="G12" s="58"/>
      <c r="H12" s="58"/>
      <c r="I12" s="58"/>
      <c r="J12" s="58"/>
      <c r="K12" s="58"/>
      <c r="L12" s="58"/>
    </row>
    <row r="13" ht="41" customHeight="1" spans="1:12">
      <c r="A13" s="57" t="s">
        <v>56</v>
      </c>
      <c r="B13" s="57"/>
      <c r="C13" s="57"/>
      <c r="D13" s="58"/>
      <c r="E13" s="58"/>
      <c r="F13" s="58"/>
      <c r="G13" s="58"/>
      <c r="H13" s="58"/>
      <c r="I13" s="58"/>
      <c r="J13" s="58"/>
      <c r="K13" s="58"/>
      <c r="L13" s="58"/>
    </row>
  </sheetData>
  <sheetProtection formatCells="0" formatColumns="0" formatRows="0" insertRows="0" insertColumns="0" insertHyperlinks="0" deleteColumns="0" deleteRows="0" sort="0" autoFilter="0" pivotTables="0"/>
  <mergeCells count="44">
    <mergeCell ref="A1:L1"/>
    <mergeCell ref="A2:B2"/>
    <mergeCell ref="C2:F2"/>
    <mergeCell ref="H2:L2"/>
    <mergeCell ref="A3:B3"/>
    <mergeCell ref="E3:F3"/>
    <mergeCell ref="H3:L3"/>
    <mergeCell ref="D4:I4"/>
    <mergeCell ref="J4:L4"/>
    <mergeCell ref="D5:E5"/>
    <mergeCell ref="F5:G5"/>
    <mergeCell ref="A12:C12"/>
    <mergeCell ref="D12:L12"/>
    <mergeCell ref="A13:C13"/>
    <mergeCell ref="D13:L13"/>
    <mergeCell ref="A4:A5"/>
    <mergeCell ref="A6:A7"/>
    <mergeCell ref="A8:A9"/>
    <mergeCell ref="A10:A11"/>
    <mergeCell ref="H6:H7"/>
    <mergeCell ref="H8:H9"/>
    <mergeCell ref="H10:H11"/>
    <mergeCell ref="I6:I7"/>
    <mergeCell ref="I8:I9"/>
    <mergeCell ref="I10:I11"/>
    <mergeCell ref="J6:J7"/>
    <mergeCell ref="J8:J9"/>
    <mergeCell ref="J10:J11"/>
    <mergeCell ref="K6:K7"/>
    <mergeCell ref="K8:K9"/>
    <mergeCell ref="K10:K11"/>
    <mergeCell ref="L6:L7"/>
    <mergeCell ref="L8:L9"/>
    <mergeCell ref="L10:L11"/>
    <mergeCell ref="B4:C5"/>
    <mergeCell ref="B6:C7"/>
    <mergeCell ref="D6:E7"/>
    <mergeCell ref="F6:G7"/>
    <mergeCell ref="B8:C9"/>
    <mergeCell ref="D8:E9"/>
    <mergeCell ref="F8:G9"/>
    <mergeCell ref="B10:C11"/>
    <mergeCell ref="D10:E11"/>
    <mergeCell ref="F10:G11"/>
  </mergeCells>
  <pageMargins left="0.75" right="0.75" top="1" bottom="1" header="0.5" footer="0.5"/>
  <pageSetup paperSize="9" scale="8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1"/>
  <sheetViews>
    <sheetView tabSelected="1" zoomScale="70" zoomScaleNormal="70" workbookViewId="0">
      <selection activeCell="C17" sqref="C17:D18"/>
    </sheetView>
  </sheetViews>
  <sheetFormatPr defaultColWidth="9" defaultRowHeight="13.5" outlineLevelCol="7"/>
  <cols>
    <col min="1" max="1" width="6.6" style="12" customWidth="1"/>
    <col min="2" max="2" width="53.6333333333333" style="12" customWidth="1"/>
    <col min="3" max="4" width="26.3583333333333" style="12" customWidth="1"/>
    <col min="5" max="8" width="21.3583333333333" style="12" customWidth="1"/>
  </cols>
  <sheetData>
    <row r="1" ht="39" customHeight="1" spans="1:8">
      <c r="A1" s="14" t="s">
        <v>119</v>
      </c>
      <c r="B1" s="14"/>
      <c r="C1" s="14"/>
      <c r="D1" s="14"/>
      <c r="E1" s="14"/>
      <c r="F1" s="14"/>
      <c r="G1" s="14"/>
      <c r="H1" s="14"/>
    </row>
    <row r="2" ht="72" customHeight="1" spans="1:8">
      <c r="A2" s="15" t="s">
        <v>39</v>
      </c>
      <c r="B2" s="15"/>
      <c r="C2" s="15" t="str">
        <f>项目基本情况!B2</f>
        <v>2025年xxxxx采购项目</v>
      </c>
      <c r="D2" s="15"/>
      <c r="E2" s="15" t="s">
        <v>42</v>
      </c>
      <c r="F2" s="15" t="str">
        <f>项目基本情况!B6</f>
        <v>NJYYJX-XX-25XXXX</v>
      </c>
      <c r="G2" s="15" t="s">
        <v>10</v>
      </c>
      <c r="H2" s="15" t="str">
        <f>项目基本情况!B7</f>
        <v>/</v>
      </c>
    </row>
    <row r="3" ht="32" customHeight="1" spans="1:8">
      <c r="A3" s="15" t="s">
        <v>120</v>
      </c>
      <c r="B3" s="15"/>
      <c r="C3" s="15"/>
      <c r="D3" s="15"/>
      <c r="E3" s="15"/>
      <c r="F3" s="15"/>
      <c r="G3" s="15"/>
      <c r="H3" s="15"/>
    </row>
    <row r="4" ht="32" customHeight="1" spans="1:8">
      <c r="A4" s="16" t="s">
        <v>26</v>
      </c>
      <c r="B4" s="15" t="s">
        <v>27</v>
      </c>
      <c r="C4" s="17" t="s">
        <v>121</v>
      </c>
      <c r="D4" s="18"/>
      <c r="E4" s="17" t="s">
        <v>122</v>
      </c>
      <c r="F4" s="18"/>
      <c r="G4" s="17" t="s">
        <v>123</v>
      </c>
      <c r="H4" s="18"/>
    </row>
    <row r="5" customFormat="1" ht="20" customHeight="1" spans="1:8">
      <c r="A5" s="19">
        <v>1</v>
      </c>
      <c r="B5" s="19" t="str">
        <f>项目基本情况!B10</f>
        <v>公司1</v>
      </c>
      <c r="C5" s="20"/>
      <c r="D5" s="21"/>
      <c r="E5" s="20"/>
      <c r="F5" s="21"/>
      <c r="G5" s="20"/>
      <c r="H5" s="21"/>
    </row>
    <row r="6" customFormat="1" ht="20" customHeight="1" spans="1:8">
      <c r="A6" s="22"/>
      <c r="B6" s="22"/>
      <c r="C6" s="23"/>
      <c r="D6" s="24"/>
      <c r="E6" s="23"/>
      <c r="F6" s="24"/>
      <c r="G6" s="23"/>
      <c r="H6" s="24"/>
    </row>
    <row r="7" customFormat="1" ht="20" customHeight="1" spans="1:8">
      <c r="A7" s="19">
        <v>2</v>
      </c>
      <c r="B7" s="19" t="str">
        <f>项目基本情况!B12</f>
        <v>公司2</v>
      </c>
      <c r="C7" s="20"/>
      <c r="D7" s="21"/>
      <c r="E7" s="20"/>
      <c r="F7" s="21"/>
      <c r="G7" s="20"/>
      <c r="H7" s="21"/>
    </row>
    <row r="8" customFormat="1" ht="20" customHeight="1" spans="1:8">
      <c r="A8" s="22"/>
      <c r="B8" s="22"/>
      <c r="C8" s="23"/>
      <c r="D8" s="24"/>
      <c r="E8" s="23"/>
      <c r="F8" s="24"/>
      <c r="G8" s="23"/>
      <c r="H8" s="24"/>
    </row>
    <row r="9" customFormat="1" ht="20" customHeight="1" spans="1:8">
      <c r="A9" s="19">
        <v>3</v>
      </c>
      <c r="B9" s="19" t="str">
        <f>项目基本情况!B14</f>
        <v>公司3</v>
      </c>
      <c r="C9" s="20"/>
      <c r="D9" s="21"/>
      <c r="E9" s="20"/>
      <c r="F9" s="21"/>
      <c r="G9" s="20"/>
      <c r="H9" s="21"/>
    </row>
    <row r="10" s="12" customFormat="1" ht="20" customHeight="1" spans="1:8">
      <c r="A10" s="22"/>
      <c r="B10" s="22"/>
      <c r="C10" s="23"/>
      <c r="D10" s="24"/>
      <c r="E10" s="23"/>
      <c r="F10" s="24"/>
      <c r="G10" s="23"/>
      <c r="H10" s="24"/>
    </row>
    <row r="11" s="12" customFormat="1" ht="40" customHeight="1" spans="1:8">
      <c r="A11" s="15" t="s">
        <v>124</v>
      </c>
      <c r="B11" s="15"/>
      <c r="C11" s="15"/>
      <c r="D11" s="15"/>
      <c r="E11" s="15"/>
      <c r="F11" s="15"/>
      <c r="G11" s="15"/>
      <c r="H11" s="15"/>
    </row>
    <row r="12" s="12" customFormat="1" ht="40" customHeight="1" spans="1:8">
      <c r="A12" s="16" t="s">
        <v>26</v>
      </c>
      <c r="B12" s="15" t="s">
        <v>27</v>
      </c>
      <c r="C12" s="25" t="s">
        <v>125</v>
      </c>
      <c r="D12" s="26"/>
      <c r="E12" s="25" t="s">
        <v>126</v>
      </c>
      <c r="F12" s="26"/>
      <c r="G12" s="15" t="s">
        <v>127</v>
      </c>
      <c r="H12" s="15" t="s">
        <v>128</v>
      </c>
    </row>
    <row r="13" s="12" customFormat="1" ht="20" customHeight="1" spans="1:8">
      <c r="A13" s="19">
        <v>1</v>
      </c>
      <c r="B13" s="19" t="str">
        <f>项目基本情况!B10</f>
        <v>公司1</v>
      </c>
      <c r="C13" s="20"/>
      <c r="D13" s="21"/>
      <c r="E13" s="20"/>
      <c r="F13" s="21"/>
      <c r="G13" s="20"/>
      <c r="H13" s="21"/>
    </row>
    <row r="14" s="13" customFormat="1" ht="20" customHeight="1" spans="1:8">
      <c r="A14" s="22"/>
      <c r="B14" s="22"/>
      <c r="C14" s="23"/>
      <c r="D14" s="24"/>
      <c r="E14" s="23"/>
      <c r="F14" s="24"/>
      <c r="G14" s="23"/>
      <c r="H14" s="24"/>
    </row>
    <row r="15" s="13" customFormat="1" ht="20" customHeight="1" spans="1:8">
      <c r="A15" s="19">
        <v>2</v>
      </c>
      <c r="B15" s="19" t="str">
        <f>项目基本情况!B12</f>
        <v>公司2</v>
      </c>
      <c r="C15" s="20"/>
      <c r="D15" s="21"/>
      <c r="E15" s="20"/>
      <c r="F15" s="21"/>
      <c r="G15" s="20"/>
      <c r="H15" s="21"/>
    </row>
    <row r="16" s="13" customFormat="1" ht="20" customHeight="1" spans="1:8">
      <c r="A16" s="22"/>
      <c r="B16" s="22"/>
      <c r="C16" s="23"/>
      <c r="D16" s="24"/>
      <c r="E16" s="23"/>
      <c r="F16" s="24"/>
      <c r="G16" s="23"/>
      <c r="H16" s="24"/>
    </row>
    <row r="17" s="13" customFormat="1" ht="20" customHeight="1" spans="1:8">
      <c r="A17" s="19">
        <v>3</v>
      </c>
      <c r="B17" s="19" t="str">
        <f>项目基本情况!B14</f>
        <v>公司3</v>
      </c>
      <c r="C17" s="20"/>
      <c r="D17" s="21"/>
      <c r="E17" s="20"/>
      <c r="F17" s="21"/>
      <c r="G17" s="20"/>
      <c r="H17" s="21"/>
    </row>
    <row r="18" s="13" customFormat="1" ht="20" customHeight="1" spans="1:8">
      <c r="A18" s="22"/>
      <c r="B18" s="22"/>
      <c r="C18" s="23"/>
      <c r="D18" s="24"/>
      <c r="E18" s="23"/>
      <c r="F18" s="24"/>
      <c r="G18" s="23"/>
      <c r="H18" s="24"/>
    </row>
    <row r="19" s="13" customFormat="1" ht="36" customHeight="1" spans="1:8">
      <c r="A19" s="27" t="s">
        <v>129</v>
      </c>
      <c r="B19" s="27"/>
      <c r="C19" s="27"/>
      <c r="D19" s="27"/>
      <c r="E19" s="27"/>
      <c r="F19" s="27"/>
      <c r="G19" s="27"/>
      <c r="H19" s="27"/>
    </row>
    <row r="20" s="13" customFormat="1" ht="53" customHeight="1" spans="1:8">
      <c r="A20" s="27" t="s">
        <v>130</v>
      </c>
      <c r="B20" s="27"/>
      <c r="C20" s="27"/>
      <c r="D20" s="27"/>
      <c r="E20" s="27"/>
      <c r="F20" s="27"/>
      <c r="G20" s="27"/>
      <c r="H20" s="27"/>
    </row>
    <row r="21" s="13" customFormat="1" ht="25" hidden="1" customHeight="1" spans="1:8">
      <c r="A21" s="28" t="s">
        <v>131</v>
      </c>
      <c r="B21" s="28"/>
      <c r="C21" s="28"/>
      <c r="D21" s="28"/>
      <c r="E21" s="28"/>
      <c r="F21" s="28"/>
      <c r="G21" s="28"/>
      <c r="H21" s="28"/>
    </row>
  </sheetData>
  <sheetProtection formatCells="0" formatColumns="0" formatRows="0" insertRows="0" insertColumns="0" insertHyperlinks="0" deleteColumns="0" deleteRows="0" sort="0" autoFilter="0" pivotTables="0"/>
  <mergeCells count="43">
    <mergeCell ref="A1:H1"/>
    <mergeCell ref="A2:B2"/>
    <mergeCell ref="C2:D2"/>
    <mergeCell ref="A3:H3"/>
    <mergeCell ref="C4:D4"/>
    <mergeCell ref="E4:F4"/>
    <mergeCell ref="G4:H4"/>
    <mergeCell ref="A11:H11"/>
    <mergeCell ref="C12:D12"/>
    <mergeCell ref="E12:F12"/>
    <mergeCell ref="A19:H19"/>
    <mergeCell ref="A20:H20"/>
    <mergeCell ref="A21:H21"/>
    <mergeCell ref="A5:A6"/>
    <mergeCell ref="A7:A8"/>
    <mergeCell ref="A9:A10"/>
    <mergeCell ref="A13:A14"/>
    <mergeCell ref="A15:A16"/>
    <mergeCell ref="A17:A18"/>
    <mergeCell ref="B5:B6"/>
    <mergeCell ref="B7:B8"/>
    <mergeCell ref="B9:B10"/>
    <mergeCell ref="B13:B14"/>
    <mergeCell ref="B15:B16"/>
    <mergeCell ref="B17:B18"/>
    <mergeCell ref="C5:D6"/>
    <mergeCell ref="E5:F6"/>
    <mergeCell ref="G5:H6"/>
    <mergeCell ref="C7:D8"/>
    <mergeCell ref="E7:F8"/>
    <mergeCell ref="G7:H8"/>
    <mergeCell ref="C9:D10"/>
    <mergeCell ref="E9:F10"/>
    <mergeCell ref="G9:H10"/>
    <mergeCell ref="C13:D14"/>
    <mergeCell ref="E13:F14"/>
    <mergeCell ref="G13:H14"/>
    <mergeCell ref="C15:D16"/>
    <mergeCell ref="E15:F16"/>
    <mergeCell ref="G15:H16"/>
    <mergeCell ref="C17:D18"/>
    <mergeCell ref="E17:F18"/>
    <mergeCell ref="G17:H18"/>
  </mergeCells>
  <pageMargins left="0.75" right="0.75" top="1" bottom="1" header="0.5" footer="0.5"/>
  <pageSetup paperSize="9" scale="66"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6"/>
  <sheetViews>
    <sheetView zoomScale="85" zoomScaleNormal="85" workbookViewId="0">
      <selection activeCell="G8" sqref="G8"/>
    </sheetView>
  </sheetViews>
  <sheetFormatPr defaultColWidth="9" defaultRowHeight="13.5" outlineLevelCol="6"/>
  <cols>
    <col min="1" max="1" width="12.625" customWidth="1"/>
    <col min="2" max="2" width="19.75" customWidth="1"/>
    <col min="4" max="4" width="46.5" customWidth="1"/>
    <col min="5" max="5" width="29.2833333333333" customWidth="1"/>
    <col min="6" max="6" width="22.675" style="1" customWidth="1"/>
    <col min="7" max="7" width="31.075" style="1" customWidth="1"/>
  </cols>
  <sheetData>
    <row r="1" ht="28" customHeight="1" spans="1:7">
      <c r="A1" s="2" t="s">
        <v>132</v>
      </c>
      <c r="B1" s="2"/>
      <c r="C1" s="2"/>
      <c r="D1" s="2"/>
      <c r="E1" s="2"/>
      <c r="F1" s="2"/>
      <c r="G1" s="2"/>
    </row>
    <row r="2" ht="29" customHeight="1" spans="1:7">
      <c r="A2" s="3" t="s">
        <v>26</v>
      </c>
      <c r="B2" s="3" t="s">
        <v>133</v>
      </c>
      <c r="C2" s="3" t="s">
        <v>134</v>
      </c>
      <c r="D2" s="3" t="s">
        <v>135</v>
      </c>
      <c r="E2" s="3" t="s">
        <v>107</v>
      </c>
      <c r="F2" s="4" t="s">
        <v>108</v>
      </c>
      <c r="G2" s="4" t="s">
        <v>109</v>
      </c>
    </row>
    <row r="3" ht="29" customHeight="1" spans="1:7">
      <c r="A3" s="5">
        <v>1</v>
      </c>
      <c r="B3" s="5" t="s">
        <v>136</v>
      </c>
      <c r="C3" s="5" t="s">
        <v>137</v>
      </c>
      <c r="D3" s="6" t="s">
        <v>138</v>
      </c>
      <c r="E3" s="6"/>
      <c r="F3" s="7"/>
      <c r="G3" s="7"/>
    </row>
    <row r="4" ht="29" customHeight="1" spans="1:7">
      <c r="A4" s="5"/>
      <c r="B4" s="5"/>
      <c r="C4" s="5"/>
      <c r="D4" s="6" t="s">
        <v>139</v>
      </c>
      <c r="E4" s="6"/>
      <c r="F4" s="7"/>
      <c r="G4" s="7"/>
    </row>
    <row r="5" ht="29" customHeight="1" spans="1:7">
      <c r="A5" s="5"/>
      <c r="B5" s="5"/>
      <c r="C5" s="5"/>
      <c r="D5" s="6" t="s">
        <v>140</v>
      </c>
      <c r="E5" s="6"/>
      <c r="F5" s="7"/>
      <c r="G5" s="7"/>
    </row>
    <row r="6" ht="29" customHeight="1" spans="1:7">
      <c r="A6" s="5">
        <v>2</v>
      </c>
      <c r="B6" s="8" t="s">
        <v>141</v>
      </c>
      <c r="C6" s="5" t="s">
        <v>142</v>
      </c>
      <c r="D6" s="6" t="s">
        <v>143</v>
      </c>
      <c r="E6" s="6"/>
      <c r="F6" s="7"/>
      <c r="G6" s="7"/>
    </row>
    <row r="7" ht="29" customHeight="1" spans="1:7">
      <c r="A7" s="5"/>
      <c r="B7" s="8"/>
      <c r="C7" s="5"/>
      <c r="D7" s="6" t="s">
        <v>144</v>
      </c>
      <c r="E7" s="6"/>
      <c r="F7" s="7"/>
      <c r="G7" s="7"/>
    </row>
    <row r="8" ht="29" customHeight="1" spans="1:7">
      <c r="A8" s="5"/>
      <c r="B8" s="8"/>
      <c r="C8" s="5"/>
      <c r="D8" s="6" t="s">
        <v>145</v>
      </c>
      <c r="E8" s="6"/>
      <c r="F8" s="7"/>
      <c r="G8" s="7"/>
    </row>
    <row r="9" ht="29" customHeight="1" spans="1:7">
      <c r="A9" s="5">
        <v>3</v>
      </c>
      <c r="B9" s="5" t="s">
        <v>146</v>
      </c>
      <c r="C9" s="5" t="s">
        <v>142</v>
      </c>
      <c r="D9" s="9" t="s">
        <v>147</v>
      </c>
      <c r="E9" s="9"/>
      <c r="F9" s="7"/>
      <c r="G9" s="7"/>
    </row>
    <row r="10" ht="29" customHeight="1" spans="1:7">
      <c r="A10" s="5"/>
      <c r="B10" s="5"/>
      <c r="C10" s="5"/>
      <c r="D10" s="6" t="s">
        <v>148</v>
      </c>
      <c r="E10" s="6"/>
      <c r="F10" s="7"/>
      <c r="G10" s="7"/>
    </row>
    <row r="11" ht="29" customHeight="1" spans="1:7">
      <c r="A11" s="5"/>
      <c r="B11" s="5"/>
      <c r="C11" s="5"/>
      <c r="D11" s="6" t="s">
        <v>149</v>
      </c>
      <c r="E11" s="6"/>
      <c r="F11" s="7"/>
      <c r="G11" s="7"/>
    </row>
    <row r="12" ht="35" customHeight="1" spans="1:7">
      <c r="A12" s="2" t="s">
        <v>150</v>
      </c>
      <c r="B12" s="2"/>
      <c r="C12" s="2"/>
      <c r="D12" s="2"/>
      <c r="E12" s="2"/>
      <c r="F12" s="10"/>
      <c r="G12" s="10"/>
    </row>
    <row r="13" ht="35" customHeight="1" spans="1:7">
      <c r="A13" s="2" t="s">
        <v>151</v>
      </c>
      <c r="B13" s="2"/>
      <c r="C13" s="2"/>
      <c r="D13" s="2"/>
      <c r="E13" s="2"/>
      <c r="F13" s="2"/>
      <c r="G13" s="2"/>
    </row>
    <row r="14" ht="19" customHeight="1" spans="1:7">
      <c r="A14" s="11" t="s">
        <v>152</v>
      </c>
      <c r="B14" s="11"/>
      <c r="C14" s="11"/>
      <c r="D14" s="11"/>
      <c r="E14" s="11"/>
      <c r="F14" s="11"/>
      <c r="G14" s="11"/>
    </row>
    <row r="15" ht="19" customHeight="1" spans="1:7">
      <c r="A15" s="11" t="s">
        <v>153</v>
      </c>
      <c r="B15" s="11"/>
      <c r="C15" s="11"/>
      <c r="D15" s="11"/>
      <c r="E15" s="11"/>
      <c r="F15" s="11"/>
      <c r="G15" s="11"/>
    </row>
    <row r="16" ht="19" customHeight="1" spans="1:7">
      <c r="A16" s="11" t="s">
        <v>154</v>
      </c>
      <c r="B16" s="11"/>
      <c r="C16" s="11"/>
      <c r="D16" s="11"/>
      <c r="E16" s="11"/>
      <c r="F16" s="11"/>
      <c r="G16" s="11"/>
    </row>
  </sheetData>
  <mergeCells count="16">
    <mergeCell ref="A1:G1"/>
    <mergeCell ref="A12:D12"/>
    <mergeCell ref="A13:D13"/>
    <mergeCell ref="E13:G13"/>
    <mergeCell ref="A14:G14"/>
    <mergeCell ref="A15:G15"/>
    <mergeCell ref="A16:G16"/>
    <mergeCell ref="A3:A5"/>
    <mergeCell ref="A6:A8"/>
    <mergeCell ref="A9:A11"/>
    <mergeCell ref="B3:B5"/>
    <mergeCell ref="B6:B8"/>
    <mergeCell ref="B9:B11"/>
    <mergeCell ref="C3:C5"/>
    <mergeCell ref="C6:C8"/>
    <mergeCell ref="C9:C11"/>
  </mergeCells>
  <pageMargins left="0.75" right="0.75" top="1" bottom="1" header="0.5" footer="0.5"/>
  <pageSetup paperSize="9" scale="77"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项目基本情况</vt:lpstr>
      <vt:lpstr>供应商签到、文件密封及样品确认情况</vt:lpstr>
      <vt:lpstr>评定标报告（不够三家）</vt:lpstr>
      <vt:lpstr>评审人员、监督及代理机构签到表</vt:lpstr>
      <vt:lpstr>评定标报告 (够三家)</vt:lpstr>
      <vt:lpstr>附件一、采购项目资格审查表</vt:lpstr>
      <vt:lpstr>附件二、符合性审查表</vt:lpstr>
      <vt:lpstr>附件三、评审过程</vt:lpstr>
      <vt:lpstr>评分表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耗奇害死猫</cp:lastModifiedBy>
  <dcterms:created xsi:type="dcterms:W3CDTF">2020-09-02T06:35:00Z</dcterms:created>
  <dcterms:modified xsi:type="dcterms:W3CDTF">2025-02-16T10:00:43Z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63E5DDCF66214DEA98A5456642390B7A_13</vt:lpwstr>
  </property>
  <property fmtid="{D5CDD505-2E9C-101B-9397-08002B2CF9AE}" pid="4" name="KSOReadingLayout">
    <vt:bool>false</vt:bool>
  </property>
</Properties>
</file>